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3" autoFilterDateGrouping="1"/>
  </bookViews>
  <sheets>
    <sheet name="Récapitulatif" sheetId="1" state="visible" r:id="rId1"/>
    <sheet name="Justifications détaillées" sheetId="2" state="visible" r:id="rId2"/>
    <sheet name="Classement" sheetId="3" state="visible" r:id="rId3"/>
    <sheet name="Recommandations" sheetId="4" state="visible" r:id="rId4"/>
    <sheet name="Synthèse Commits P1" sheetId="5" state="visible" r:id="rId5"/>
    <sheet name="Synthèse Commits P2" sheetId="6" state="visible" r:id="rId6"/>
    <sheet name="Synthèse Commits P3" sheetId="7" state="visible" r:id="rId7"/>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0">
    <font>
      <name val="Calibri"/>
      <charset val="1"/>
      <family val="2"/>
      <color theme="1"/>
      <sz val="11"/>
    </font>
    <font>
      <name val="Arial"/>
      <family val="0"/>
      <sz val="10"/>
    </font>
    <font>
      <name val="Arial"/>
      <family val="0"/>
      <sz val="10"/>
    </font>
    <font>
      <name val="Arial"/>
      <family val="0"/>
      <sz val="10"/>
    </font>
    <font>
      <name val="Cambria"/>
      <charset val="1"/>
      <family val="0"/>
      <b val="1"/>
      <color rgb="FFFFFFFF"/>
      <sz val="11"/>
    </font>
    <font>
      <name val="Cambria"/>
      <charset val="1"/>
      <family val="0"/>
      <b val="1"/>
      <sz val="11"/>
    </font>
    <font>
      <name val="Cambria"/>
      <charset val="1"/>
      <family val="0"/>
      <b val="1"/>
      <color rgb="FF4472C4"/>
      <sz val="12"/>
    </font>
    <font>
      <name val="Cambria"/>
      <charset val="1"/>
      <family val="0"/>
      <b val="1"/>
      <color rgb="FFFF0000"/>
      <sz val="11"/>
    </font>
    <font>
      <name val="Cambria"/>
      <charset val="1"/>
      <family val="0"/>
      <b val="1"/>
      <color rgb="FFFF0000"/>
      <sz val="12"/>
    </font>
    <font>
      <b val="1"/>
      <color rgb="00FFFFFF"/>
      <sz val="11"/>
    </font>
  </fonts>
  <fills count="19">
    <fill>
      <patternFill/>
    </fill>
    <fill>
      <patternFill patternType="gray125"/>
    </fill>
    <fill>
      <patternFill patternType="solid">
        <fgColor rgb="FF2F5496"/>
        <bgColor rgb="FF4472C4"/>
      </patternFill>
    </fill>
    <fill>
      <patternFill patternType="solid">
        <fgColor rgb="FF4472C4"/>
        <bgColor rgb="FF666699"/>
      </patternFill>
    </fill>
    <fill>
      <patternFill patternType="solid">
        <fgColor rgb="FFF4B084"/>
        <bgColor rgb="FFFFC7CE"/>
      </patternFill>
    </fill>
    <fill>
      <patternFill patternType="solid">
        <fgColor rgb="FFFFC7CE"/>
        <bgColor rgb="FFF8CECC"/>
      </patternFill>
    </fill>
    <fill>
      <patternFill patternType="solid">
        <fgColor rgb="FFC6EFCE"/>
        <bgColor rgb="FFD5E8D4"/>
      </patternFill>
    </fill>
    <fill>
      <patternFill patternType="solid">
        <fgColor rgb="FFFFEB9C"/>
        <bgColor rgb="FFFFE6CC"/>
      </patternFill>
    </fill>
    <fill>
      <patternFill patternType="solid">
        <fgColor rgb="FFFFF2CC"/>
        <bgColor rgb="FFFFE6CC"/>
      </patternFill>
    </fill>
    <fill>
      <patternFill patternType="solid">
        <fgColor rgb="FFD6E4F0"/>
        <bgColor rgb="FFD9E2F3"/>
      </patternFill>
    </fill>
    <fill>
      <patternFill patternType="solid">
        <fgColor rgb="FFD9E2F3"/>
        <bgColor rgb="FFD6E4F0"/>
      </patternFill>
    </fill>
    <fill>
      <patternFill patternType="solid">
        <fgColor rgb="FFE2EFDA"/>
        <bgColor rgb="FFD5E8D4"/>
      </patternFill>
    </fill>
    <fill>
      <patternFill patternType="solid">
        <fgColor rgb="FFF8CECC"/>
        <bgColor rgb="FFFFC7CE"/>
      </patternFill>
    </fill>
    <fill>
      <patternFill patternType="solid">
        <fgColor rgb="FFD5E8D4"/>
        <bgColor rgb="FFE2EFDA"/>
      </patternFill>
    </fill>
    <fill>
      <patternFill patternType="solid">
        <fgColor rgb="FFFFE6CC"/>
        <bgColor rgb="FFFFF2CC"/>
      </patternFill>
    </fill>
    <fill>
      <patternFill patternType="solid">
        <fgColor rgb="004472C4"/>
        <bgColor rgb="004472C4"/>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s>
  <borders count="6">
    <border>
      <left/>
      <right/>
      <top/>
      <bottom/>
      <diagonal/>
    </border>
    <border>
      <left style="thin"/>
      <right style="thin"/>
      <top style="thin"/>
      <bottom style="thin"/>
      <diagonal/>
    </border>
    <border>
      <left style="thin"/>
      <right/>
      <top/>
      <bottom/>
      <diagonal/>
    </border>
    <border>
      <left style="thin"/>
      <right style="thin"/>
      <top/>
      <bottom/>
      <diagonal/>
    </border>
    <border>
      <left style="thin"/>
      <right style="thin"/>
      <top/>
      <bottom style="thin"/>
      <diagonal/>
    </border>
    <border>
      <left style="thin"/>
      <right style="thin"/>
      <top style="thin"/>
      <bottom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4" fillId="3" borderId="1" applyAlignment="1" pivotButton="0" quotePrefix="0" xfId="0">
      <alignment horizontal="center" vertical="bottom" wrapText="1"/>
    </xf>
    <xf numFmtId="0" fontId="0" fillId="0" borderId="1" applyAlignment="1" pivotButton="0" quotePrefix="0" xfId="0">
      <alignment horizontal="center" vertical="center" wrapText="1"/>
    </xf>
    <xf numFmtId="164" fontId="0" fillId="4" borderId="1" applyAlignment="1" pivotButton="0" quotePrefix="0" xfId="0">
      <alignment horizontal="center" vertical="center" wrapText="1"/>
    </xf>
    <xf numFmtId="164" fontId="0" fillId="5" borderId="1" applyAlignment="1" pivotButton="0" quotePrefix="0" xfId="0">
      <alignment horizontal="center" vertical="center" wrapText="1"/>
    </xf>
    <xf numFmtId="164" fontId="0" fillId="6" borderId="1" applyAlignment="1" pivotButton="0" quotePrefix="0" xfId="0">
      <alignment horizontal="center" vertical="center" wrapText="1"/>
    </xf>
    <xf numFmtId="164" fontId="0" fillId="7" borderId="1" applyAlignment="1" pivotButton="0" quotePrefix="0" xfId="0">
      <alignment horizontal="center" vertical="center" wrapText="1"/>
    </xf>
    <xf numFmtId="0" fontId="0" fillId="8" borderId="1" applyAlignment="1" pivotButton="0" quotePrefix="0" xfId="0">
      <alignment horizontal="center" vertical="bottom"/>
    </xf>
    <xf numFmtId="0" fontId="0" fillId="0" borderId="1" applyAlignment="1" pivotButton="0" quotePrefix="0" xfId="0">
      <alignment horizontal="general" vertical="bottom"/>
    </xf>
    <xf numFmtId="0" fontId="5" fillId="0" borderId="1" applyAlignment="1" pivotButton="0" quotePrefix="0" xfId="0">
      <alignment horizontal="center" vertical="center" wrapText="1"/>
    </xf>
    <xf numFmtId="2" fontId="5" fillId="9" borderId="1" applyAlignment="1" pivotButton="0" quotePrefix="0" xfId="0">
      <alignment horizontal="center" vertical="center" wrapText="1"/>
    </xf>
    <xf numFmtId="0" fontId="0" fillId="0" borderId="1" applyAlignment="1" pivotButton="0" quotePrefix="0" xfId="0">
      <alignment horizontal="left" vertical="top" wrapText="1"/>
    </xf>
    <xf numFmtId="0" fontId="6" fillId="0" borderId="0" applyAlignment="1" pivotButton="0" quotePrefix="0" xfId="0">
      <alignment horizontal="general" vertical="bottom"/>
    </xf>
    <xf numFmtId="0" fontId="5" fillId="10" borderId="1" applyAlignment="1" pivotButton="0" quotePrefix="0" xfId="0">
      <alignment horizontal="general" vertical="bottom"/>
    </xf>
    <xf numFmtId="0" fontId="0" fillId="10" borderId="1" applyAlignment="1" pivotButton="0" quotePrefix="0" xfId="0">
      <alignment horizontal="general" vertical="bottom"/>
    </xf>
    <xf numFmtId="0" fontId="0" fillId="10" borderId="1" applyAlignment="1" pivotButton="0" quotePrefix="0" xfId="0">
      <alignment horizontal="center" vertical="bottom"/>
    </xf>
    <xf numFmtId="0" fontId="0" fillId="10" borderId="1" applyAlignment="1" pivotButton="0" quotePrefix="0" xfId="0">
      <alignment horizontal="general" vertical="bottom" wrapText="1"/>
    </xf>
    <xf numFmtId="0" fontId="7" fillId="0" borderId="1" applyAlignment="1" pivotButton="0" quotePrefix="0" xfId="0">
      <alignment horizontal="general" vertical="bottom"/>
    </xf>
    <xf numFmtId="0" fontId="8" fillId="0" borderId="1" applyAlignment="1" pivotButton="0" quotePrefix="0" xfId="0">
      <alignment horizontal="center" vertical="bottom"/>
    </xf>
    <xf numFmtId="0" fontId="5" fillId="0" borderId="1" applyAlignment="1" pivotButton="0" quotePrefix="0" xfId="0">
      <alignment horizontal="general" vertical="bottom"/>
    </xf>
    <xf numFmtId="0" fontId="5" fillId="11"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7"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12" borderId="1" applyAlignment="1" pivotButton="0" quotePrefix="0" xfId="0">
      <alignment horizontal="center" vertical="center" wrapText="1"/>
    </xf>
    <xf numFmtId="0" fontId="0" fillId="13" borderId="1" applyAlignment="1" pivotButton="0" quotePrefix="0" xfId="0">
      <alignment horizontal="center" vertical="center" wrapText="1"/>
    </xf>
    <xf numFmtId="0" fontId="0" fillId="14" borderId="1" applyAlignment="1" pivotButton="0" quotePrefix="0" xfId="0">
      <alignment horizontal="center" vertical="center" wrapText="1"/>
    </xf>
    <xf numFmtId="0" fontId="5" fillId="10" borderId="1" applyAlignment="1" pivotButton="0" quotePrefix="0" xfId="0">
      <alignment horizontal="general" vertical="top" wrapText="1"/>
    </xf>
    <xf numFmtId="0" fontId="0" fillId="1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4" fillId="3" borderId="1" applyAlignment="1" pivotButton="0" quotePrefix="0" xfId="0">
      <alignment horizontal="center" vertical="bottom" wrapText="1"/>
    </xf>
    <xf numFmtId="0" fontId="0" fillId="0" borderId="1" applyAlignment="1" pivotButton="0" quotePrefix="0" xfId="0">
      <alignment horizontal="center" vertical="center" wrapText="1"/>
    </xf>
    <xf numFmtId="164" fontId="0" fillId="4" borderId="1" applyAlignment="1" pivotButton="0" quotePrefix="0" xfId="0">
      <alignment horizontal="center" vertical="center" wrapText="1"/>
    </xf>
    <xf numFmtId="164" fontId="0" fillId="5" borderId="1" applyAlignment="1" pivotButton="0" quotePrefix="0" xfId="0">
      <alignment horizontal="center" vertical="center" wrapText="1"/>
    </xf>
    <xf numFmtId="164" fontId="0" fillId="6" borderId="1" applyAlignment="1" pivotButton="0" quotePrefix="0" xfId="0">
      <alignment horizontal="center" vertical="center" wrapText="1"/>
    </xf>
    <xf numFmtId="164" fontId="0" fillId="7" borderId="1" applyAlignment="1" pivotButton="0" quotePrefix="0" xfId="0">
      <alignment horizontal="center" vertical="center" wrapText="1"/>
    </xf>
    <xf numFmtId="0" fontId="0" fillId="8" borderId="1" applyAlignment="1" pivotButton="0" quotePrefix="0" xfId="0">
      <alignment horizontal="center" vertical="bottom"/>
    </xf>
    <xf numFmtId="0" fontId="0" fillId="0" borderId="1" applyAlignment="1" pivotButton="0" quotePrefix="0" xfId="0">
      <alignment horizontal="general" vertical="bottom"/>
    </xf>
    <xf numFmtId="0" fontId="5" fillId="0" borderId="1" applyAlignment="1" pivotButton="0" quotePrefix="0" xfId="0">
      <alignment horizontal="center" vertical="center" wrapText="1"/>
    </xf>
    <xf numFmtId="2" fontId="5" fillId="9" borderId="1" applyAlignment="1" pivotButton="0" quotePrefix="0" xfId="0">
      <alignment horizontal="center" vertical="center" wrapText="1"/>
    </xf>
    <xf numFmtId="0" fontId="0" fillId="0" borderId="1" applyAlignment="1" pivotButton="0" quotePrefix="0" xfId="0">
      <alignment horizontal="left" vertical="top" wrapText="1"/>
    </xf>
    <xf numFmtId="0" fontId="0" fillId="0" borderId="3" pivotButton="0" quotePrefix="0" xfId="0"/>
    <xf numFmtId="0" fontId="0" fillId="0" borderId="4" pivotButton="0" quotePrefix="0" xfId="0"/>
    <xf numFmtId="0" fontId="6" fillId="0" borderId="0" applyAlignment="1" pivotButton="0" quotePrefix="0" xfId="0">
      <alignment horizontal="general" vertical="bottom"/>
    </xf>
    <xf numFmtId="0" fontId="5" fillId="10" borderId="1" applyAlignment="1" pivotButton="0" quotePrefix="0" xfId="0">
      <alignment horizontal="general" vertical="bottom"/>
    </xf>
    <xf numFmtId="0" fontId="0" fillId="10" borderId="1" applyAlignment="1" pivotButton="0" quotePrefix="0" xfId="0">
      <alignment horizontal="general" vertical="bottom"/>
    </xf>
    <xf numFmtId="0" fontId="0" fillId="10" borderId="1" applyAlignment="1" pivotButton="0" quotePrefix="0" xfId="0">
      <alignment horizontal="center" vertical="bottom"/>
    </xf>
    <xf numFmtId="0" fontId="0" fillId="10" borderId="1" applyAlignment="1" pivotButton="0" quotePrefix="0" xfId="0">
      <alignment horizontal="general" vertical="bottom" wrapText="1"/>
    </xf>
    <xf numFmtId="0" fontId="7" fillId="0" borderId="1" applyAlignment="1" pivotButton="0" quotePrefix="0" xfId="0">
      <alignment horizontal="general" vertical="bottom"/>
    </xf>
    <xf numFmtId="0" fontId="8" fillId="0" borderId="1" applyAlignment="1" pivotButton="0" quotePrefix="0" xfId="0">
      <alignment horizontal="center" vertical="bottom"/>
    </xf>
    <xf numFmtId="0" fontId="5" fillId="0" borderId="1" applyAlignment="1" pivotButton="0" quotePrefix="0" xfId="0">
      <alignment horizontal="general" vertical="bottom"/>
    </xf>
    <xf numFmtId="0" fontId="5" fillId="11"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7"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12" borderId="1" applyAlignment="1" pivotButton="0" quotePrefix="0" xfId="0">
      <alignment horizontal="center" vertical="center" wrapText="1"/>
    </xf>
    <xf numFmtId="0" fontId="0" fillId="13" borderId="1" applyAlignment="1" pivotButton="0" quotePrefix="0" xfId="0">
      <alignment horizontal="center" vertical="center" wrapText="1"/>
    </xf>
    <xf numFmtId="0" fontId="0" fillId="14" borderId="1" applyAlignment="1" pivotButton="0" quotePrefix="0" xfId="0">
      <alignment horizontal="center" vertical="center" wrapText="1"/>
    </xf>
    <xf numFmtId="0" fontId="5" fillId="10" borderId="1" applyAlignment="1" pivotButton="0" quotePrefix="0" xfId="0">
      <alignment horizontal="general" vertical="top" wrapText="1"/>
    </xf>
    <xf numFmtId="0" fontId="0" fillId="10" borderId="1" applyAlignment="1" pivotButton="0" quotePrefix="0" xfId="0">
      <alignment horizontal="general" vertical="top" wrapText="1"/>
    </xf>
    <xf numFmtId="0" fontId="9" fillId="15" borderId="5" applyAlignment="1" pivotButton="0" quotePrefix="0" xfId="0">
      <alignment horizontal="center" vertical="center" wrapText="1"/>
    </xf>
    <xf numFmtId="0" fontId="0" fillId="0" borderId="5" applyAlignment="1" pivotButton="0" quotePrefix="0" xfId="0">
      <alignment vertical="top" wrapText="1"/>
    </xf>
    <xf numFmtId="0" fontId="0" fillId="16" borderId="5" applyAlignment="1" pivotButton="0" quotePrefix="0" xfId="0">
      <alignment vertical="top" wrapText="1"/>
    </xf>
    <xf numFmtId="0" fontId="0" fillId="17" borderId="5" applyAlignment="1" pivotButton="0" quotePrefix="0" xfId="0">
      <alignment vertical="top" wrapText="1"/>
    </xf>
    <xf numFmtId="0" fontId="0" fillId="18" borderId="5"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5E8D4"/>
      <rgbColor rgb="FF808080"/>
      <rgbColor rgb="FF9999FF"/>
      <rgbColor rgb="FF993366"/>
      <rgbColor rgb="FFFFF2CC"/>
      <rgbColor rgb="FFE2EFDA"/>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D6E4F0"/>
      <rgbColor rgb="FFC6EFCE"/>
      <rgbColor rgb="FFFFEB9C"/>
      <rgbColor rgb="FFFFE6CC"/>
      <rgbColor rgb="FFF4B084"/>
      <rgbColor rgb="FFFFC7CE"/>
      <rgbColor rgb="FFF8CECC"/>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9" activeCellId="0" sqref="A9"/>
    </sheetView>
  </sheetViews>
  <sheetFormatPr baseColWidth="8" defaultColWidth="8.5390625" defaultRowHeight="15" zeroHeight="0" outlineLevelRow="0"/>
  <cols>
    <col width="5" customWidth="1" style="32" min="1" max="1"/>
    <col width="16" customWidth="1" style="32" min="2" max="2"/>
    <col width="14" customWidth="1" style="32" min="3" max="7"/>
    <col width="12" customWidth="1" style="32" min="8" max="8"/>
    <col width="9.140000000000001" customWidth="1" style="32" min="16384" max="16384"/>
  </cols>
  <sheetData>
    <row r="1" ht="27.75" customHeight="1" s="33">
      <c r="A1" s="34" t="inlineStr">
        <is>
          <t>#</t>
        </is>
      </c>
      <c r="B1" s="34" t="inlineStr">
        <is>
          <t>Équipe</t>
        </is>
      </c>
      <c r="C1" s="34" t="inlineStr">
        <is>
          <t>Motivation &amp;
Business (/4)</t>
        </is>
      </c>
      <c r="D1" s="34" t="inlineStr">
        <is>
          <t>Backlog &amp;
US (/8)</t>
        </is>
      </c>
      <c r="E1" s="34" t="inlineStr">
        <is>
          <t>Stratégie
Sprints (/4)</t>
        </is>
      </c>
      <c r="F1" s="34" t="inlineStr">
        <is>
          <t>Architecture
Logicielle (/4)</t>
        </is>
      </c>
      <c r="G1" s="34" t="inlineStr">
        <is>
          <t>Plateforme
DevOps (/5)</t>
        </is>
      </c>
      <c r="H1" s="34" t="inlineStr">
        <is>
          <t>TOTAL (/25)</t>
        </is>
      </c>
      <c r="I1" s="35" t="inlineStr">
        <is>
          <t>Motivation &amp; Business V2 (/4)</t>
        </is>
      </c>
      <c r="J1" s="35" t="inlineStr">
        <is>
          <t>Backlog &amp; US V2 (/8)</t>
        </is>
      </c>
      <c r="K1" s="35" t="inlineStr">
        <is>
          <t>Stratégie Sprints V2 (/4)</t>
        </is>
      </c>
      <c r="L1" s="35" t="inlineStr">
        <is>
          <t>Architecture Logicielle V2 (/4)</t>
        </is>
      </c>
      <c r="M1" s="35" t="inlineStr">
        <is>
          <t>Plateforme DevOps V2 (/5)</t>
        </is>
      </c>
      <c r="N1" s="35" t="inlineStr">
        <is>
          <t>TOTAL V2 (/25)</t>
        </is>
      </c>
      <c r="O1" s="35" t="inlineStr">
        <is>
          <t>MOYENNE V1+V2 (/25)</t>
        </is>
      </c>
    </row>
    <row r="2" ht="15" customHeight="1" s="33">
      <c r="A2" s="36" t="inlineStr">
        <is>
          <t>11</t>
        </is>
      </c>
      <c r="B2" s="36" t="inlineStr">
        <is>
          <t>IMGB</t>
        </is>
      </c>
      <c r="C2" s="37" t="n">
        <v>2.5</v>
      </c>
      <c r="D2" s="38" t="n">
        <v>3</v>
      </c>
      <c r="E2" s="37" t="n">
        <v>2</v>
      </c>
      <c r="F2" s="38" t="n">
        <v>1.5</v>
      </c>
      <c r="G2" s="38" t="n">
        <v>2</v>
      </c>
      <c r="H2" s="38" t="n">
        <v>11</v>
      </c>
    </row>
    <row r="3" ht="15" customHeight="1" s="33">
      <c r="A3" s="36" t="inlineStr">
        <is>
          <t>12</t>
        </is>
      </c>
      <c r="B3" s="36" t="inlineStr">
        <is>
          <t>ANGULAR</t>
        </is>
      </c>
      <c r="C3" s="39" t="n">
        <v>4</v>
      </c>
      <c r="D3" s="40" t="n">
        <v>6</v>
      </c>
      <c r="E3" s="39" t="n">
        <v>4</v>
      </c>
      <c r="F3" s="39" t="n">
        <v>4</v>
      </c>
      <c r="G3" s="39" t="n">
        <v>5</v>
      </c>
      <c r="H3" s="39" t="n">
        <v>23</v>
      </c>
    </row>
    <row r="4" ht="15" customHeight="1" s="33">
      <c r="A4" s="36" t="inlineStr">
        <is>
          <t>13</t>
        </is>
      </c>
      <c r="B4" s="36" t="inlineStr">
        <is>
          <t>TEAM3</t>
        </is>
      </c>
      <c r="C4" s="40" t="n">
        <v>3</v>
      </c>
      <c r="D4" s="39" t="n">
        <v>7</v>
      </c>
      <c r="E4" s="39" t="n">
        <v>3.5</v>
      </c>
      <c r="F4" s="39" t="n">
        <v>4</v>
      </c>
      <c r="G4" s="39" t="n">
        <v>4.5</v>
      </c>
      <c r="H4" s="39" t="n">
        <v>22</v>
      </c>
    </row>
    <row r="5" ht="15" customHeight="1" s="33">
      <c r="A5" s="36" t="inlineStr">
        <is>
          <t>14</t>
        </is>
      </c>
      <c r="B5" s="36" t="inlineStr">
        <is>
          <t>GameTrade</t>
        </is>
      </c>
      <c r="C5" s="38" t="n">
        <v>1.5</v>
      </c>
      <c r="D5" s="38" t="n">
        <v>3</v>
      </c>
      <c r="E5" s="37" t="n">
        <v>2.5</v>
      </c>
      <c r="F5" s="37" t="n">
        <v>2</v>
      </c>
      <c r="G5" s="38" t="n">
        <v>2</v>
      </c>
      <c r="H5" s="38" t="n">
        <v>11</v>
      </c>
    </row>
    <row r="6" ht="15" customHeight="1" s="33">
      <c r="A6" s="36" t="inlineStr">
        <is>
          <t>15</t>
        </is>
      </c>
      <c r="B6" s="36" t="inlineStr">
        <is>
          <t>Team5</t>
        </is>
      </c>
      <c r="C6" s="40" t="n">
        <v>3</v>
      </c>
      <c r="D6" s="37" t="n">
        <v>5</v>
      </c>
      <c r="E6" s="39" t="n">
        <v>3.5</v>
      </c>
      <c r="F6" s="39" t="n">
        <v>3.5</v>
      </c>
      <c r="G6" s="40" t="n">
        <v>3.5</v>
      </c>
      <c r="H6" s="40" t="n">
        <v>18.5</v>
      </c>
    </row>
    <row r="7" ht="15" customHeight="1" s="33">
      <c r="A7" s="36" t="inlineStr">
        <is>
          <t>16</t>
        </is>
      </c>
      <c r="B7" s="36" t="inlineStr">
        <is>
          <t>Team6</t>
        </is>
      </c>
      <c r="C7" s="38" t="n">
        <v>1</v>
      </c>
      <c r="D7" s="38" t="n">
        <v>3</v>
      </c>
      <c r="E7" s="37" t="n">
        <v>2</v>
      </c>
      <c r="F7" s="38" t="n">
        <v>1</v>
      </c>
      <c r="G7" s="37" t="n">
        <v>3</v>
      </c>
      <c r="H7" s="38" t="n">
        <v>10</v>
      </c>
      <c r="I7" s="41" t="n">
        <v>2.5</v>
      </c>
      <c r="J7" s="41" t="n">
        <v>6</v>
      </c>
      <c r="K7" s="41" t="n">
        <v>3</v>
      </c>
      <c r="L7" s="41" t="n">
        <v>3</v>
      </c>
      <c r="M7" s="41" t="n">
        <v>3.5</v>
      </c>
      <c r="N7" s="41" t="n">
        <v>18</v>
      </c>
      <c r="O7" s="41" t="n">
        <v>14</v>
      </c>
    </row>
    <row r="8" ht="15" customHeight="1" s="33">
      <c r="A8" s="36" t="inlineStr">
        <is>
          <t>17</t>
        </is>
      </c>
      <c r="B8" s="36" t="inlineStr">
        <is>
          <t>GameSearch</t>
        </is>
      </c>
      <c r="C8" s="40" t="n">
        <v>3</v>
      </c>
      <c r="D8" s="37" t="n">
        <v>5</v>
      </c>
      <c r="E8" s="38" t="n">
        <v>0</v>
      </c>
      <c r="F8" s="40" t="n">
        <v>3</v>
      </c>
      <c r="G8" s="40" t="n">
        <v>4</v>
      </c>
      <c r="H8" s="37" t="n">
        <v>15</v>
      </c>
    </row>
    <row r="9" ht="15" customHeight="1" s="33">
      <c r="A9" s="36" t="inlineStr">
        <is>
          <t>18</t>
        </is>
      </c>
      <c r="B9" s="36" t="inlineStr">
        <is>
          <t>Koen</t>
        </is>
      </c>
      <c r="C9" s="40" t="n">
        <v>3</v>
      </c>
      <c r="D9" s="37" t="n">
        <v>4</v>
      </c>
      <c r="E9" s="40" t="n">
        <v>3</v>
      </c>
      <c r="F9" s="39" t="n">
        <v>4</v>
      </c>
      <c r="G9" s="37" t="n">
        <v>3</v>
      </c>
      <c r="H9" s="40" t="n">
        <v>17</v>
      </c>
    </row>
    <row r="10" ht="15" customHeight="1" s="33">
      <c r="A10" s="36" t="inlineStr">
        <is>
          <t>21</t>
        </is>
      </c>
      <c r="B10" s="36" t="inlineStr">
        <is>
          <t>Cristaline</t>
        </is>
      </c>
      <c r="C10" s="40" t="n">
        <v>3</v>
      </c>
      <c r="D10" s="40" t="n">
        <v>6</v>
      </c>
      <c r="E10" s="40" t="n">
        <v>3</v>
      </c>
      <c r="F10" s="37" t="n">
        <v>2</v>
      </c>
      <c r="G10" s="40" t="n">
        <v>4</v>
      </c>
      <c r="H10" s="40" t="n">
        <v>18</v>
      </c>
    </row>
    <row r="11" ht="15" customHeight="1" s="33">
      <c r="A11" s="36" t="inlineStr">
        <is>
          <t>22</t>
        </is>
      </c>
      <c r="B11" s="36" t="inlineStr">
        <is>
          <t>GRAY</t>
        </is>
      </c>
      <c r="C11" s="37" t="n">
        <v>2</v>
      </c>
      <c r="D11" s="38" t="n">
        <v>3</v>
      </c>
      <c r="E11" s="40" t="n">
        <v>3</v>
      </c>
      <c r="F11" s="37" t="n">
        <v>2</v>
      </c>
      <c r="G11" s="37" t="n">
        <v>3</v>
      </c>
      <c r="H11" s="37" t="n">
        <v>13</v>
      </c>
    </row>
    <row r="12" ht="15" customHeight="1" s="33">
      <c r="A12" s="36" t="inlineStr">
        <is>
          <t>23</t>
        </is>
      </c>
      <c r="B12" s="36" t="inlineStr">
        <is>
          <t>LVC</t>
        </is>
      </c>
      <c r="C12" s="39" t="n">
        <v>3.5</v>
      </c>
      <c r="D12" s="40" t="n">
        <v>7</v>
      </c>
      <c r="E12" s="37" t="n">
        <v>3.5</v>
      </c>
      <c r="F12" s="39" t="n">
        <v>3.5</v>
      </c>
      <c r="G12" s="39" t="n">
        <v>4.5</v>
      </c>
      <c r="H12" s="40" t="n">
        <v>22</v>
      </c>
    </row>
    <row r="13" ht="15" customHeight="1" s="33">
      <c r="A13" s="36" t="inlineStr">
        <is>
          <t>24</t>
        </is>
      </c>
      <c r="B13" s="36" t="inlineStr">
        <is>
          <t>GeoGuesser</t>
        </is>
      </c>
      <c r="C13" s="39" t="n">
        <v>4</v>
      </c>
      <c r="D13" s="39" t="n">
        <v>7</v>
      </c>
      <c r="E13" s="39" t="n">
        <v>3.5</v>
      </c>
      <c r="F13" s="39" t="n">
        <v>4</v>
      </c>
      <c r="G13" s="39" t="n">
        <v>4.5</v>
      </c>
      <c r="H13" s="39" t="n">
        <v>23</v>
      </c>
    </row>
    <row r="14" ht="15" customHeight="1" s="33">
      <c r="A14" s="36" t="inlineStr">
        <is>
          <t>25</t>
        </is>
      </c>
      <c r="B14" s="36" t="inlineStr">
        <is>
          <t>BlocDeLest</t>
        </is>
      </c>
      <c r="C14" s="39" t="n">
        <v>3.5</v>
      </c>
      <c r="D14" s="39" t="n">
        <v>7.5</v>
      </c>
      <c r="E14" s="39" t="n">
        <v>3.5</v>
      </c>
      <c r="F14" s="39" t="n">
        <v>4</v>
      </c>
      <c r="G14" s="39" t="n">
        <v>4.5</v>
      </c>
      <c r="H14" s="39" t="n">
        <v>23</v>
      </c>
    </row>
    <row r="15" ht="15" customHeight="1" s="33">
      <c r="A15" s="36" t="inlineStr">
        <is>
          <t>26</t>
        </is>
      </c>
      <c r="B15" s="36" t="inlineStr">
        <is>
          <t>SRVF</t>
        </is>
      </c>
      <c r="C15" s="40" t="n">
        <v>3</v>
      </c>
      <c r="D15" s="37" t="n">
        <v>5</v>
      </c>
      <c r="E15" s="40" t="n">
        <v>3</v>
      </c>
      <c r="F15" s="40" t="n">
        <v>3</v>
      </c>
      <c r="G15" s="39" t="n">
        <v>5</v>
      </c>
      <c r="H15" s="40" t="n">
        <v>19</v>
      </c>
    </row>
    <row r="16" ht="15" customHeight="1" s="33">
      <c r="A16" s="36" t="inlineStr">
        <is>
          <t>27</t>
        </is>
      </c>
      <c r="B16" s="36" t="inlineStr">
        <is>
          <t>SONORA</t>
        </is>
      </c>
      <c r="C16" s="37" t="n">
        <v>2.5</v>
      </c>
      <c r="D16" s="37" t="n">
        <v>5</v>
      </c>
      <c r="E16" s="37" t="n">
        <v>2.5</v>
      </c>
      <c r="F16" s="39" t="n">
        <v>3.5</v>
      </c>
      <c r="G16" s="40" t="n">
        <v>4</v>
      </c>
      <c r="H16" s="40" t="n">
        <v>17.5</v>
      </c>
    </row>
    <row r="17" ht="15" customHeight="1" s="33">
      <c r="A17" s="42" t="n"/>
      <c r="B17" s="43" t="inlineStr">
        <is>
          <t>MOYENNE</t>
        </is>
      </c>
      <c r="C17" s="44">
        <f>AVERAGE(C2:C16)</f>
        <v/>
      </c>
      <c r="D17" s="44">
        <f>AVERAGE(D2:D16)</f>
        <v/>
      </c>
      <c r="E17" s="44">
        <f>AVERAGE(E2:E16)</f>
        <v/>
      </c>
      <c r="F17" s="44">
        <f>AVERAGE(F2:F16)</f>
        <v/>
      </c>
      <c r="G17" s="44">
        <f>AVERAGE(G2:G16)</f>
        <v/>
      </c>
      <c r="H17" s="44">
        <f>AVERAGE(H2:H16)</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98"/>
  <sheetViews>
    <sheetView showFormulas="0" showGridLines="1" showRowColHeaders="1" showZeros="1" rightToLeft="0" tabSelected="0" showOutlineSymbols="1" defaultGridColor="1" view="normal" topLeftCell="A47" colorId="64" zoomScale="100" zoomScaleNormal="100" zoomScalePageLayoutView="100" workbookViewId="0">
      <selection pane="topLeft" activeCell="D68" activeCellId="0" sqref="D68"/>
    </sheetView>
  </sheetViews>
  <sheetFormatPr baseColWidth="8" defaultColWidth="8.5390625" defaultRowHeight="15" zeroHeight="0" outlineLevelRow="0"/>
  <cols>
    <col width="18" customWidth="1" style="32" min="1" max="1"/>
    <col width="30" customWidth="1" style="32" min="2" max="2"/>
    <col width="8" customWidth="1" style="32" min="3" max="3"/>
    <col width="80" customWidth="1" style="32" min="4" max="4"/>
  </cols>
  <sheetData>
    <row r="1" ht="15" customHeight="1" s="33">
      <c r="A1" s="34" t="inlineStr">
        <is>
          <t>Équipe</t>
        </is>
      </c>
      <c r="B1" s="34" t="inlineStr">
        <is>
          <t>Critère</t>
        </is>
      </c>
      <c r="C1" s="34" t="inlineStr">
        <is>
          <t>Note</t>
        </is>
      </c>
      <c r="D1" s="34" t="inlineStr">
        <is>
          <t>Justification</t>
        </is>
      </c>
    </row>
    <row r="2" ht="27.75" customHeight="1" s="33">
      <c r="A2" s="43" t="inlineStr">
        <is>
          <t>11-IMGB</t>
        </is>
      </c>
      <c r="B2" s="45" t="inlineStr">
        <is>
          <t>Motivation &amp; Business</t>
        </is>
      </c>
      <c r="C2" s="45" t="inlineStr">
        <is>
          <t>2.5/4</t>
        </is>
      </c>
      <c r="D2" s="45" t="inlineStr">
        <is>
          <t>Concept clair (Letterboxd du jeu vidéo) mais aucun modèle économique esquissé. Pas d'analyse de marché ni de différenciation vs Metacritic/IGDB.</t>
        </is>
      </c>
    </row>
    <row r="3" ht="27.75" customHeight="1" s="33">
      <c r="A3" s="46" t="n"/>
      <c r="B3" s="45" t="inlineStr">
        <is>
          <t>Backlog &amp; US</t>
        </is>
      </c>
      <c r="C3" s="45" t="inlineStr">
        <is>
          <t>3/8</t>
        </is>
      </c>
      <c r="D3" s="45" t="inlineStr">
        <is>
          <t>11 US sans hiérarchisation réelle (toutes 'Importante'). Aucune distinction MVP/produit final. US en une phrase sans critères d'acceptation.</t>
        </is>
      </c>
    </row>
    <row r="4" ht="15" customHeight="1" s="33">
      <c r="A4" s="46" t="n"/>
      <c r="B4" s="45" t="inlineStr">
        <is>
          <t>Stratégie Sprints</t>
        </is>
      </c>
      <c r="C4" s="45" t="inlineStr">
        <is>
          <t>2/4</t>
        </is>
      </c>
      <c r="D4" s="45" t="inlineStr">
        <is>
          <t>7 sprints planifiés mais sprints 3 à 6 entièrement vides. Cérémonies agiles non mentionnées.</t>
        </is>
      </c>
    </row>
    <row r="5" ht="27.75" customHeight="1" s="33">
      <c r="A5" s="46" t="n"/>
      <c r="B5" s="45" t="inlineStr">
        <is>
          <t>Architecture</t>
        </is>
      </c>
      <c r="C5" s="45" t="inlineStr">
        <is>
          <t>1.5/4</t>
        </is>
      </c>
      <c r="D5" s="45" t="inlineStr">
        <is>
          <t>Stack listée mais aucun schéma d'architecture. Interactions entre composants non décrites. Endpoints REST très partiels.</t>
        </is>
      </c>
    </row>
    <row r="6" ht="27.75" customHeight="1" s="33">
      <c r="A6" s="47" t="n"/>
      <c r="B6" s="45" t="inlineStr">
        <is>
          <t>DevOps</t>
        </is>
      </c>
      <c r="C6" s="45" t="inlineStr">
        <is>
          <t>2/5</t>
        </is>
      </c>
      <c r="D6" s="45" t="inlineStr">
        <is>
          <t>Outils identifiés (GitLab, Jenkins, SonarQube, Docker) mais aucun workflow de collaboration. Pipeline CI/CD non détaillé.</t>
        </is>
      </c>
    </row>
    <row r="8" ht="27.75" customHeight="1" s="33">
      <c r="A8" s="43" t="inlineStr">
        <is>
          <t>12-ANGULAR</t>
        </is>
      </c>
      <c r="B8" s="45" t="inlineStr">
        <is>
          <t>Motivation &amp; Business</t>
        </is>
      </c>
      <c r="C8" s="45" t="inlineStr">
        <is>
          <t>4/4</t>
        </is>
      </c>
      <c r="D8" s="45" t="inlineStr">
        <is>
          <t>Besoin clairement identifié (fragmentation du marché). Modèle économique B2C/B2B détaillé (freemium, SaaS API, affiliation). Trois profils utilisateurs bien définis.</t>
        </is>
      </c>
    </row>
    <row r="9" ht="27.75" customHeight="1" s="33">
      <c r="A9" s="46" t="n"/>
      <c r="B9" s="45" t="inlineStr">
        <is>
          <t>Backlog &amp; US</t>
        </is>
      </c>
      <c r="C9" s="45" t="inlineStr">
        <is>
          <t>6/8</t>
        </is>
      </c>
      <c r="D9" s="45" t="inlineStr">
        <is>
          <t>Distinction MVP/produit final claire. Epics bien organisées. Critères d'acceptation avec endpoints REST identifiés. Quelques US sans critères d'acceptation.</t>
        </is>
      </c>
    </row>
    <row r="10" ht="27.75" customHeight="1" s="33">
      <c r="A10" s="46" t="n"/>
      <c r="B10" s="45" t="inlineStr">
        <is>
          <t>Stratégie Sprints</t>
        </is>
      </c>
      <c r="C10" s="45" t="inlineStr">
        <is>
          <t>4/4</t>
        </is>
      </c>
      <c r="D10" s="45" t="inlineStr">
        <is>
          <t>4 sprints bien séquencés avec objectifs concrets. Cérémonies Scrum correctement décrites. Sprint 3 dédié à la robustesse.</t>
        </is>
      </c>
    </row>
    <row r="11" ht="27.75" customHeight="1" s="33">
      <c r="A11" s="46" t="n"/>
      <c r="B11" s="45" t="inlineStr">
        <is>
          <t>Architecture</t>
        </is>
      </c>
      <c r="C11" s="45" t="inlineStr">
        <is>
          <t>4/4</t>
        </is>
      </c>
      <c r="D11" s="45" t="inlineStr">
        <is>
          <t>Schéma Mermaid clair distinguant flux sync/async. Flux Kafka bien détaillé. Monolithe modulaire justifié.</t>
        </is>
      </c>
    </row>
    <row r="12" ht="27.75" customHeight="1" s="33">
      <c r="A12" s="47" t="n"/>
      <c r="B12" s="45" t="inlineStr">
        <is>
          <t>DevOps</t>
        </is>
      </c>
      <c r="C12" s="45" t="inlineStr">
        <is>
          <t>5/5</t>
        </is>
      </c>
      <c r="D12" s="45" t="inlineStr">
        <is>
          <t>GitHub Actions, Docker, JaCoCo. MR avec revue obligatoire et CI au vert. Pipeline CI/CD en deux phases. Stack observabilité (OpenTelemetry, Grafana).</t>
        </is>
      </c>
    </row>
    <row r="14" ht="27.75" customHeight="1" s="33">
      <c r="A14" s="43" t="inlineStr">
        <is>
          <t>13-TEAM3</t>
        </is>
      </c>
      <c r="B14" s="45" t="inlineStr">
        <is>
          <t>Motivation &amp; Business</t>
        </is>
      </c>
      <c r="C14" s="45" t="inlineStr">
        <is>
          <t>3/4</t>
        </is>
      </c>
      <c r="D14" s="45" t="inlineStr">
        <is>
          <t>Marketplace de clés de jeux bien articulée. Proposition de valeur cohérente. Modèle économique (commission, etc.) reste flou.</t>
        </is>
      </c>
    </row>
    <row r="15" ht="27.75" customHeight="1" s="33">
      <c r="A15" s="46" t="n"/>
      <c r="B15" s="45" t="inlineStr">
        <is>
          <t>Backlog &amp; US</t>
        </is>
      </c>
      <c r="C15" s="45" t="inlineStr">
        <is>
          <t>7/8</t>
        </is>
      </c>
      <c r="D15" s="45" t="inlineStr">
        <is>
          <t>20 US couvrant 6 epics. Tâches techniques très détaillées. MVP clairement défini. Manque estimations (story points) et critères d'acceptation formels.</t>
        </is>
      </c>
    </row>
    <row r="16" ht="27.75" customHeight="1" s="33">
      <c r="A16" s="46" t="n"/>
      <c r="B16" s="45" t="inlineStr">
        <is>
          <t>Stratégie Sprints</t>
        </is>
      </c>
      <c r="C16" s="45" t="inlineStr">
        <is>
          <t>3.5/4</t>
        </is>
      </c>
      <c r="D16" s="45" t="inlineStr">
        <is>
          <t>5 sprints bien séquencés (S0 infra → S4 social). Sprint 0 dédié infrastructure. Cérémonies agiles non formalisées.</t>
        </is>
      </c>
    </row>
    <row r="17" ht="27.75" customHeight="1" s="33">
      <c r="A17" s="46" t="n"/>
      <c r="B17" s="45" t="inlineStr">
        <is>
          <t>Architecture</t>
        </is>
      </c>
      <c r="C17" s="45" t="inlineStr">
        <is>
          <t>4/4</t>
        </is>
      </c>
      <c r="D17" s="45" t="inlineStr">
        <is>
          <t>Diagramme Mermaid complet : 6 microservices, Kafka, PostgreSQL, APIs externes. Chaque composant décrit avec rôle et flux précis.</t>
        </is>
      </c>
    </row>
    <row r="18" ht="27.75" customHeight="1" s="33">
      <c r="A18" s="47" t="n"/>
      <c r="B18" s="45" t="inlineStr">
        <is>
          <t>DevOps</t>
        </is>
      </c>
      <c r="C18" s="45" t="inlineStr">
        <is>
          <t>4.5/5</t>
        </is>
      </c>
      <c r="D18" s="45" t="inlineStr">
        <is>
          <t>Terraform + K8s, CI/CD avec étapes distinctes, Grafana + Elasticstack. Outil CI spécifique non précisé, workflow de branching non formalisé.</t>
        </is>
      </c>
    </row>
    <row r="20" ht="27.75" customHeight="1" s="33">
      <c r="A20" s="43" t="inlineStr">
        <is>
          <t>14-GameTrade</t>
        </is>
      </c>
      <c r="B20" s="45" t="inlineStr">
        <is>
          <t>Motivation &amp; Business</t>
        </is>
      </c>
      <c r="C20" s="45" t="inlineStr">
        <is>
          <t>1.5/4</t>
        </is>
      </c>
      <c r="D20" s="45" t="inlineStr">
        <is>
          <t>Besoin identifiable (achat/vente comptes) mais non contextualisé. Aucune analyse de marché ni modèle économique.</t>
        </is>
      </c>
    </row>
    <row r="21" ht="27.75" customHeight="1" s="33">
      <c r="A21" s="46" t="n"/>
      <c r="B21" s="45" t="inlineStr">
        <is>
          <t>Backlog &amp; US</t>
        </is>
      </c>
      <c r="C21" s="45" t="inlineStr">
        <is>
          <t>3/8</t>
        </is>
      </c>
      <c r="D21" s="45" t="inlineStr">
        <is>
          <t>Seulement 8 US très concises, sans critères d'acceptation. Backlog incomplet (pas d'auth, pas de paiement). Priorisation inexistante.</t>
        </is>
      </c>
    </row>
    <row r="22" ht="27.75" customHeight="1" s="33">
      <c r="A22" s="46" t="n"/>
      <c r="B22" s="45" t="inlineStr">
        <is>
          <t>Stratégie Sprints</t>
        </is>
      </c>
      <c r="C22" s="45" t="inlineStr">
        <is>
          <t>2.5/4</t>
        </is>
      </c>
      <c r="D22" s="45" t="inlineStr">
        <is>
          <t>7 sprints avec objectifs et livrables. Séquencement logique. Cérémonies agiles non mentionnées. Sprints 6-7 déséquilibrés.</t>
        </is>
      </c>
    </row>
    <row r="23" ht="27.75" customHeight="1" s="33">
      <c r="A23" s="46" t="n"/>
      <c r="B23" s="45" t="inlineStr">
        <is>
          <t>Architecture</t>
        </is>
      </c>
      <c r="C23" s="45" t="inlineStr">
        <is>
          <t>2/4</t>
        </is>
      </c>
      <c r="D23" s="45" t="inlineStr">
        <is>
          <t>Composants listés textuellement. Aucun schéma d'architecture. Topics Kafka mentionnés sans détail producteur/consommateur.</t>
        </is>
      </c>
    </row>
    <row r="24" ht="27.75" customHeight="1" s="33">
      <c r="A24" s="47" t="n"/>
      <c r="B24" s="45" t="inlineStr">
        <is>
          <t>DevOps</t>
        </is>
      </c>
      <c r="C24" s="45" t="inlineStr">
        <is>
          <t>2/5</t>
        </is>
      </c>
      <c r="D24" s="45" t="inlineStr">
        <is>
          <t>GitLab CI et Docker identifiés mais pipeline non détaillé. Aucun workflow de branches ni règles de MR.</t>
        </is>
      </c>
    </row>
    <row r="26" ht="27.75" customHeight="1" s="33">
      <c r="A26" s="43" t="inlineStr">
        <is>
          <t>15-Team5</t>
        </is>
      </c>
      <c r="B26" s="45" t="inlineStr">
        <is>
          <t>Motivation &amp; Business</t>
        </is>
      </c>
      <c r="C26" s="45" t="inlineStr">
        <is>
          <t>3/4</t>
        </is>
      </c>
      <c r="D26" s="45" t="inlineStr">
        <is>
          <t>Besoin clair (dispersion info jeux de société). API BoardGameGeek comme valeur ajoutée. Pas de modèle économique esquissé.</t>
        </is>
      </c>
    </row>
    <row r="27" ht="27.75" customHeight="1" s="33">
      <c r="A27" s="46" t="n"/>
      <c r="B27" s="45" t="inlineStr">
        <is>
          <t>Backlog &amp; US</t>
        </is>
      </c>
      <c r="C27" s="45" t="inlineStr">
        <is>
          <t>5/8</t>
        </is>
      </c>
      <c r="D27" s="45" t="inlineStr">
        <is>
          <t>12 US avec priorisation MoSCoW. Distinction MVP/Release claire. Descriptions trop concises, sans critères d'acceptation.</t>
        </is>
      </c>
    </row>
    <row r="28" ht="27.75" customHeight="1" s="33">
      <c r="A28" s="46" t="n"/>
      <c r="B28" s="45" t="inlineStr">
        <is>
          <t>Stratégie Sprints</t>
        </is>
      </c>
      <c r="C28" s="45" t="inlineStr">
        <is>
          <t>3.5/4</t>
        </is>
      </c>
      <c r="D28" s="45" t="inlineStr">
        <is>
          <t>4 cérémonies Scrum citées. Daily async via GitHub Issues. Séquencement logique. Léger chevauchement Sprint 0/Sprint 1.</t>
        </is>
      </c>
    </row>
    <row r="29" ht="27.75" customHeight="1" s="33">
      <c r="A29" s="46" t="n"/>
      <c r="B29" s="45" t="inlineStr">
        <is>
          <t>Architecture</t>
        </is>
      </c>
      <c r="C29" s="45" t="inlineStr">
        <is>
          <t>3.5/4</t>
        </is>
      </c>
      <c r="D29" s="45" t="inlineStr">
        <is>
          <t>Schéma ASCII clair (4 couches). Topic Kafka documenté avec payload. Consommateur Kafka trop basique (simple log). Auth non tranchée.</t>
        </is>
      </c>
    </row>
    <row r="30" ht="27.75" customHeight="1" s="33">
      <c r="A30" s="47" t="n"/>
      <c r="B30" s="45" t="inlineStr">
        <is>
          <t>DevOps</t>
        </is>
      </c>
      <c r="C30" s="45" t="inlineStr">
        <is>
          <t>3.5/5</t>
        </is>
      </c>
      <c r="D30" s="45" t="inlineStr">
        <is>
          <t>GitHub Actions, Docker, Swagger, Actuator. Conventions de commits. Pas de vrai pipeline CD ni de MR obligatoire.</t>
        </is>
      </c>
    </row>
    <row r="32" ht="27.75" customHeight="1" s="33">
      <c r="A32" s="43" t="inlineStr">
        <is>
          <t>16-Team6</t>
        </is>
      </c>
      <c r="B32" s="45" t="inlineStr">
        <is>
          <t>Motivation &amp; Business</t>
        </is>
      </c>
      <c r="C32" s="45" t="inlineStr">
        <is>
          <t>1/4</t>
        </is>
      </c>
      <c r="D32" s="45" t="inlineStr">
        <is>
          <t>Aucune analyse de contexte, public cible ou concurrence. Pas de modèle économique. Justification quasi inexistante.</t>
        </is>
      </c>
    </row>
    <row r="33" ht="27.75" customHeight="1" s="33">
      <c r="A33" s="46" t="n"/>
      <c r="B33" s="45" t="inlineStr">
        <is>
          <t>Backlog &amp; US</t>
        </is>
      </c>
      <c r="C33" s="45" t="inlineStr">
        <is>
          <t>3/8</t>
        </is>
      </c>
      <c r="D33" s="45" t="inlineStr">
        <is>
          <t>9 US structurées par rôle mais non priorisées, sans critères d'acceptation. Distinction MVP/produit final floue et incomplète.</t>
        </is>
      </c>
    </row>
    <row r="34" ht="27.75" customHeight="1" s="33">
      <c r="A34" s="46" t="n"/>
      <c r="B34" s="45" t="inlineStr">
        <is>
          <t>Stratégie Sprints</t>
        </is>
      </c>
      <c r="C34" s="45" t="inlineStr">
        <is>
          <t>2/4</t>
        </is>
      </c>
      <c r="D34" s="45" t="inlineStr">
        <is>
          <t>2 sprints de 2 semaines, séquencement logique. Cérémonies mentionnées superficiellement. Sprint 2 trop chargé et hétérogène.</t>
        </is>
      </c>
    </row>
    <row r="35" ht="27.75" customHeight="1" s="33">
      <c r="A35" s="46" t="n"/>
      <c r="B35" s="45" t="inlineStr">
        <is>
          <t>Architecture</t>
        </is>
      </c>
      <c r="C35" s="45" t="inlineStr">
        <is>
          <t>1/4</t>
        </is>
      </c>
      <c r="D35" s="45" t="inlineStr">
        <is>
          <t>Simple liste de technologies. Une ligne de flux sans schéma. Rôle de Kafka non précisé. Choix H2 non justifié.</t>
        </is>
      </c>
    </row>
    <row r="36" ht="27.75" customHeight="1" s="33">
      <c r="A36" s="47" t="n"/>
      <c r="B36" s="45" t="inlineStr">
        <is>
          <t>DevOps</t>
        </is>
      </c>
      <c r="C36" s="45" t="inlineStr">
        <is>
          <t>3/5</t>
        </is>
      </c>
      <c r="D36" s="45" t="inlineStr">
        <is>
          <t>Docker, GitHub, Maven identifiés. Workflow feature branch → MR décrit. Pipeline esquissé mais sans détails (étapes, environnements).</t>
        </is>
      </c>
    </row>
    <row r="38" ht="27.75" customHeight="1" s="33">
      <c r="A38" s="43" t="inlineStr">
        <is>
          <t>17-GameSearch</t>
        </is>
      </c>
      <c r="B38" s="45" t="inlineStr">
        <is>
          <t>Motivation &amp; Business</t>
        </is>
      </c>
      <c r="C38" s="45" t="inlineStr">
        <is>
          <t>3/4</t>
        </is>
      </c>
      <c r="D38" s="45" t="inlineStr">
        <is>
          <t>Besoin bien contextualisé (visibilité studios indépendants). Modèle B2B2C pertinent mais esquissé.</t>
        </is>
      </c>
    </row>
    <row r="39" ht="27.75" customHeight="1" s="33">
      <c r="A39" s="46" t="n"/>
      <c r="B39" s="45" t="inlineStr">
        <is>
          <t>Backlog &amp; US</t>
        </is>
      </c>
      <c r="C39" s="45" t="inlineStr">
        <is>
          <t>5/8</t>
        </is>
      </c>
      <c r="D39" s="45" t="inlineStr">
        <is>
          <t>3 profils avec priorisation MoSCoW. US MVP sans critères d'acceptation. Profil Admin sans aucune US. Distinction MVP/final implicite.</t>
        </is>
      </c>
    </row>
    <row r="40" ht="27.75" customHeight="1" s="33">
      <c r="A40" s="46" t="n"/>
      <c r="B40" s="45" t="inlineStr">
        <is>
          <t>Stratégie Sprints</t>
        </is>
      </c>
      <c r="C40" s="45" t="inlineStr">
        <is>
          <t>0/4</t>
        </is>
      </c>
      <c r="D40" s="45" t="inlineStr">
        <is>
          <t>AUCUNE section dédiée aux sprints. Pas de planning, pas de séquencement, pas de cérémonies agiles. Critère entièrement absent.</t>
        </is>
      </c>
    </row>
    <row r="41" ht="27.75" customHeight="1" s="33">
      <c r="A41" s="46" t="n"/>
      <c r="B41" s="45" t="inlineStr">
        <is>
          <t>Architecture</t>
        </is>
      </c>
      <c r="C41" s="45" t="inlineStr">
        <is>
          <t>3/4</t>
        </is>
      </c>
      <c r="D41" s="45" t="inlineStr">
        <is>
          <t>Composants bien documentés en tableau. Flux Kafka précisément décrits. Schéma SQL détaillé. Manque un diagramme visuel.</t>
        </is>
      </c>
    </row>
    <row r="42" ht="27.75" customHeight="1" s="33">
      <c r="A42" s="47" t="n"/>
      <c r="B42" s="45" t="inlineStr">
        <is>
          <t>DevOps</t>
        </is>
      </c>
      <c r="C42" s="45" t="inlineStr">
        <is>
          <t>4/5</t>
        </is>
      </c>
      <c r="D42" s="45" t="inlineStr">
        <is>
          <t>Git + GitLab, MR obligatoire, pipeline CI (Maven, tests, JaCoCo, Docker). Container Registry prévu. Manque le volet CD/déploiement.</t>
        </is>
      </c>
    </row>
    <row r="44" ht="27.75" customHeight="1" s="33">
      <c r="A44" s="43" t="inlineStr">
        <is>
          <t>18-Koen</t>
        </is>
      </c>
      <c r="B44" s="45" t="inlineStr">
        <is>
          <t>Motivation &amp; Business</t>
        </is>
      </c>
      <c r="C44" s="45" t="inlineStr">
        <is>
          <t>3/4</t>
        </is>
      </c>
      <c r="D44" s="45" t="inlineStr">
        <is>
          <t>Problématique scantrad bien posée. Modèle B2B original (promotion éditeurs). Aucun chiffre ni analyse de marché.</t>
        </is>
      </c>
    </row>
    <row r="45" ht="27.75" customHeight="1" s="33">
      <c r="A45" s="46" t="n"/>
      <c r="B45" s="45" t="inlineStr">
        <is>
          <t>Backlog &amp; US</t>
        </is>
      </c>
      <c r="C45" s="45" t="inlineStr">
        <is>
          <t>4/8</t>
        </is>
      </c>
      <c r="D45" s="45" t="inlineStr">
        <is>
          <t>8 US seulement, MVP/post-MVP distingués. Descriptions succinctes (1 ligne), sans critères d'acceptation. Fonctionnalités évidentes manquantes.</t>
        </is>
      </c>
    </row>
    <row r="46" ht="27.75" customHeight="1" s="33">
      <c r="A46" s="46" t="n"/>
      <c r="B46" s="45" t="inlineStr">
        <is>
          <t>Stratégie Sprints</t>
        </is>
      </c>
      <c r="C46" s="45" t="inlineStr">
        <is>
          <t>3/4</t>
        </is>
      </c>
      <c r="D46" s="45" t="inlineStr">
        <is>
          <t>5 sprints logiquement séquencés avec livrables définis. Aucune cérémonie agile mentionnée. Durées de sprint inégales.</t>
        </is>
      </c>
    </row>
    <row r="47" ht="27.75" customHeight="1" s="33">
      <c r="A47" s="46" t="n"/>
      <c r="B47" s="45" t="inlineStr">
        <is>
          <t>Architecture</t>
        </is>
      </c>
      <c r="C47" s="45" t="inlineStr">
        <is>
          <t>4/4</t>
        </is>
      </c>
      <c r="D47" s="45" t="inlineStr">
        <is>
          <t>Schéma Mermaid clair couvrant tous les composants. Topics Kafka nommés. Choix technologiques justifiés et précis.</t>
        </is>
      </c>
    </row>
    <row r="48" ht="27.75" customHeight="1" s="33">
      <c r="A48" s="47" t="n"/>
      <c r="B48" s="45" t="inlineStr">
        <is>
          <t>DevOps</t>
        </is>
      </c>
      <c r="C48" s="45" t="inlineStr">
        <is>
          <t>3/5</t>
        </is>
      </c>
      <c r="D48" s="45" t="inlineStr">
        <is>
          <t>GitHub + GitHub Actions + Docker. Branche main protégée, PR obligatoire. Pipeline CI basique (lint+build+tests). Pas de CD réel.</t>
        </is>
      </c>
    </row>
    <row r="50" ht="27.75" customHeight="1" s="33">
      <c r="A50" s="43" t="inlineStr">
        <is>
          <t>21-Cristaline</t>
        </is>
      </c>
      <c r="B50" s="45" t="inlineStr">
        <is>
          <t>Motivation &amp; Business</t>
        </is>
      </c>
      <c r="C50" s="45" t="inlineStr">
        <is>
          <t>3/4</t>
        </is>
      </c>
      <c r="D50" s="45" t="inlineStr">
        <is>
          <t>Besoin clair (outil centralisé indépendant). Référence Letterboxd pertinente. Modèle économique superficiel, valeur différenciante modeste.</t>
        </is>
      </c>
    </row>
    <row r="51" ht="27.75" customHeight="1" s="33">
      <c r="A51" s="46" t="n"/>
      <c r="B51" s="45" t="inlineStr">
        <is>
          <t>Backlog &amp; US</t>
        </is>
      </c>
      <c r="C51" s="45" t="inlineStr">
        <is>
          <t>6/8</t>
        </is>
      </c>
      <c r="D51" s="45" t="inlineStr">
        <is>
          <t>12 UC détaillés avec acteur, pré/post-conditions, scénarios. Point fort. Pas de backlog hors-MVP. Manque priorisation globale (MoSCoW).</t>
        </is>
      </c>
    </row>
    <row r="52" ht="27.75" customHeight="1" s="33">
      <c r="A52" s="46" t="n"/>
      <c r="B52" s="45" t="inlineStr">
        <is>
          <t>Stratégie Sprints</t>
        </is>
      </c>
      <c r="C52" s="45" t="inlineStr">
        <is>
          <t>3/4</t>
        </is>
      </c>
      <c r="D52" s="45" t="inlineStr">
        <is>
          <t>Sprint 0 + Sprint 1 + Sprint 2, séquencement cohérent. Livrables définis. Cérémonies à peine effleurées, équilibre de charge non abordé.</t>
        </is>
      </c>
    </row>
    <row r="53" ht="27.75" customHeight="1" s="33">
      <c r="A53" s="46" t="n"/>
      <c r="B53" s="45" t="inlineStr">
        <is>
          <t>Architecture</t>
        </is>
      </c>
      <c r="C53" s="45" t="inlineStr">
        <is>
          <t>2/4</t>
        </is>
      </c>
      <c r="D53" s="45" t="inlineStr">
        <is>
          <t>Composants listés et rôles décrits textuellement. Kafka correctement expliqué. AUCUN schéma visuel. Choix H2 discutable et non justifié.</t>
        </is>
      </c>
    </row>
    <row r="54" ht="27.75" customHeight="1" s="33">
      <c r="A54" s="47" t="n"/>
      <c r="B54" s="45" t="inlineStr">
        <is>
          <t>DevOps</t>
        </is>
      </c>
      <c r="C54" s="45" t="inlineStr">
        <is>
          <t>4/5</t>
        </is>
      </c>
      <c r="D54" s="45" t="inlineStr">
        <is>
          <t>GitHub monorepo, GitHub Actions (build+tests+couverture), Docker + docker-compose. Processus MR non formalisé. Pas de CD vers staging/prod.</t>
        </is>
      </c>
    </row>
    <row r="56" ht="27.75" customHeight="1" s="33">
      <c r="A56" s="43" t="inlineStr">
        <is>
          <t>22-GRAY</t>
        </is>
      </c>
      <c r="B56" s="45" t="inlineStr">
        <is>
          <t>Motivation &amp; Business</t>
        </is>
      </c>
      <c r="C56" s="45" t="inlineStr">
        <is>
          <t>2/4</t>
        </is>
      </c>
      <c r="D56" s="45" t="inlineStr">
        <is>
          <t>Concept karaoké interactif sympathique. Valeur ajoutée peu argumentée vs existants. Aucun modèle économique.</t>
        </is>
      </c>
    </row>
    <row r="57" ht="27.75" customHeight="1" s="33">
      <c r="A57" s="46" t="n"/>
      <c r="B57" s="45" t="inlineStr">
        <is>
          <t>Backlog &amp; US</t>
        </is>
      </c>
      <c r="C57" s="45" t="inlineStr">
        <is>
          <t>3/8</t>
        </is>
      </c>
      <c r="D57" s="45" t="inlineStr">
        <is>
          <t>US bien rédigées mais aucune distinction MVP/final. Aucune priorisation. Critères d'acceptation totalement absents.</t>
        </is>
      </c>
    </row>
    <row r="58" ht="27.75" customHeight="1" s="33">
      <c r="A58" s="46" t="n"/>
      <c r="B58" s="45" t="inlineStr">
        <is>
          <t>Stratégie Sprints</t>
        </is>
      </c>
      <c r="C58" s="45" t="inlineStr">
        <is>
          <t>3/4</t>
        </is>
      </c>
      <c r="D58" s="45" t="inlineStr">
        <is>
          <t>5 sprints bien séquencés et équilibrés. Objectifs progressifs logiques. Cérémonies agiles non mentionnées.</t>
        </is>
      </c>
    </row>
    <row r="59" ht="27.75" customHeight="1" s="33">
      <c r="A59" s="46" t="n"/>
      <c r="B59" s="45" t="inlineStr">
        <is>
          <t>Architecture</t>
        </is>
      </c>
      <c r="C59" s="45" t="inlineStr">
        <is>
          <t>2/4</t>
        </is>
      </c>
      <c r="D59" s="45" t="inlineStr">
        <is>
          <t>Composants identifiés, flux événementiel décrit textuellement. Aucun schéma/diagramme. Base de données non mentionnée.</t>
        </is>
      </c>
    </row>
    <row r="60" ht="27.75" customHeight="1" s="33">
      <c r="A60" s="47" t="n"/>
      <c r="B60" s="45" t="inlineStr">
        <is>
          <t>DevOps</t>
        </is>
      </c>
      <c r="C60" s="45" t="inlineStr">
        <is>
          <t>3/5</t>
        </is>
      </c>
      <c r="D60" s="45" t="inlineStr">
        <is>
          <t>Docker, GitHub Actions, Swagger, Actuator identifiés. Branches features évoquées mais pas de politique MR formelle. Pipeline non détaillé.</t>
        </is>
      </c>
    </row>
    <row r="62" ht="27.75" customHeight="1" s="33">
      <c r="A62" s="43" t="inlineStr">
        <is>
          <t>23-LVC</t>
        </is>
      </c>
      <c r="B62" s="45" t="inlineStr">
        <is>
          <t>Motivation &amp; Business</t>
        </is>
      </c>
      <c r="C62" s="45" t="inlineStr">
        <is>
          <t>3.5/4</t>
        </is>
      </c>
      <c r="D62" s="45" t="inlineStr">
        <is>
          <t>Marché de l'art bien identifié. Modèle économique précis (commission 5%, plafonnée). Personas pertinents. Manque différenciation concurrentielle.</t>
        </is>
      </c>
    </row>
    <row r="63" ht="27.75" customHeight="1" s="33">
      <c r="A63" s="46" t="n"/>
      <c r="B63" s="45" t="inlineStr">
        <is>
          <t>Backlog &amp; US</t>
        </is>
      </c>
      <c r="C63" s="45" t="inlineStr">
        <is>
          <t>7/8</t>
        </is>
      </c>
      <c r="D63" s="45" t="inlineStr">
        <is>
          <t>Backlog exhaustif (~23 US) organisé en 6 epics (Authentification, Marketplace, Enchères, Administration, Notifications, Recommandations). Format US complet (En tant que… je veux… afin de…). Tâches détaillées pour chaque US. Estimations en heures et niveaux de complexité (Haute/Moyenne/Faible). Distinction MVP/post-MVP explicite (Sprint 1 = MVP). Manque uniquement des critères d'acceptation formels.</t>
        </is>
      </c>
    </row>
    <row r="64" ht="27.75" customHeight="1" s="33">
      <c r="A64" s="46" t="n"/>
      <c r="B64" s="45" t="inlineStr">
        <is>
          <t>Stratégie Sprints</t>
        </is>
      </c>
      <c r="C64" s="45" t="inlineStr">
        <is>
          <t>3.5/4</t>
        </is>
      </c>
      <c r="D64" s="45" t="inlineStr">
        <is>
          <t>4 sprints bien datés et séquencés logiquement (Sprint 1 MVP → 21 mars, Sprint 2 → 28 mars, Sprint 3 → 17 avril, Sprint 4 → 23 avril) + Sprint 0 sur temps entreprise. Contenu par sprint explicite et détaillé dans le backlog. Charge équilibrée (~21-27h/sprint pour 160h disponibles). Cérémonies mentionnées (daily async Discord/Slack + point de fin de sprint). Séquencement cohérent : MVP → améliorations → recommandations → recherche &amp; communication.</t>
        </is>
      </c>
    </row>
    <row r="65" ht="27.75" customHeight="1" s="33">
      <c r="A65" s="46" t="n"/>
      <c r="B65" s="45" t="inlineStr">
        <is>
          <t>Architecture</t>
        </is>
      </c>
      <c r="C65" s="45" t="inlineStr">
        <is>
          <t>3.5/4</t>
        </is>
      </c>
      <c r="D65" s="45" t="inlineStr">
        <is>
          <t>Schéma propre et lisible. 2 microservices + Kafka. Flux enchère bien décrit. BDD unique partagée en tension avec le découpage microservices.</t>
        </is>
      </c>
    </row>
    <row r="66" ht="27.75" customHeight="1" s="33">
      <c r="A66" s="47" t="n"/>
      <c r="B66" s="45" t="inlineStr">
        <is>
          <t>DevOps</t>
        </is>
      </c>
      <c r="C66" s="45" t="inlineStr">
        <is>
          <t>4.5/5</t>
        </is>
      </c>
      <c r="D66" s="45" t="inlineStr">
        <is>
          <t>Pipeline très complet et professionnel. Git flow clair, MR/PR obligatoires. Dockerisation complète. Stratégie release v1.0 bien pensée (GHCR).</t>
        </is>
      </c>
    </row>
    <row r="68" ht="27.75" customHeight="1" s="33">
      <c r="A68" s="43" t="inlineStr">
        <is>
          <t>24-GeoGuesser</t>
        </is>
      </c>
      <c r="B68" s="45" t="inlineStr">
        <is>
          <t>Motivation &amp; Business</t>
        </is>
      </c>
      <c r="C68" s="45" t="inlineStr">
        <is>
          <t>4/4</t>
        </is>
      </c>
      <c r="D68" s="45" t="inlineStr">
        <is>
          <t>Concept très original (GeoGuessr dans univers 3D). Analyse concurrentielle sérieuse. Profils utilisateurs bien typés.</t>
        </is>
      </c>
    </row>
    <row r="69" ht="27.75" customHeight="1" s="33">
      <c r="A69" s="46" t="n"/>
      <c r="B69" s="45" t="inlineStr">
        <is>
          <t>Backlog &amp; US</t>
        </is>
      </c>
      <c r="C69" s="45" t="inlineStr">
        <is>
          <t>7/8</t>
        </is>
      </c>
      <c r="D69" s="45" t="inlineStr">
        <is>
          <t>7 epics exhaustives. Distinction MVP/Post-MVP explicite. Critères d'acceptation précis. Epic D incomplète ([TODO]). Pas d'US Curator/Admin.</t>
        </is>
      </c>
    </row>
    <row r="70" ht="27.75" customHeight="1" s="33">
      <c r="A70" s="46" t="n"/>
      <c r="B70" s="45" t="inlineStr">
        <is>
          <t>Stratégie Sprints</t>
        </is>
      </c>
      <c r="C70" s="45" t="inlineStr">
        <is>
          <t>3.5/4</t>
        </is>
      </c>
      <c r="D70" s="45" t="inlineStr">
        <is>
          <t>4 sprints de 2 semaines, objectifs mesurables. Composition équipe explicitée. Cérémonies non mentionnées. Sprint 0 très dense.</t>
        </is>
      </c>
    </row>
    <row r="71" ht="27.75" customHeight="1" s="33">
      <c r="A71" s="46" t="n"/>
      <c r="B71" s="45" t="inlineStr">
        <is>
          <t>Architecture</t>
        </is>
      </c>
      <c r="C71" s="45" t="inlineStr">
        <is>
          <t>4/4</t>
        </is>
      </c>
      <c r="D71" s="45" t="inlineStr">
        <is>
          <t>Exemplaire : diagramme Mermaid complet (5 microservices, 4 topics Kafka, Redis). 4 ADR de grande qualité. Iframe Bridge noclip original.</t>
        </is>
      </c>
    </row>
    <row r="72" ht="27.75" customHeight="1" s="33">
      <c r="A72" s="47" t="n"/>
      <c r="B72" s="45" t="inlineStr">
        <is>
          <t>DevOps</t>
        </is>
      </c>
      <c r="C72" s="45" t="inlineStr">
        <is>
          <t>4.5/5</t>
        </is>
      </c>
      <c r="D72" s="45" t="inlineStr">
        <is>
          <t>GKE Autopilot, Terraform, Helm, namespaces dev/prod. PR → build/lint/test → deploy. Workflows ciblés par sous-répertoire. Outil CI non nommé.</t>
        </is>
      </c>
    </row>
    <row r="74" ht="27.75" customHeight="1" s="33">
      <c r="A74" s="43" t="inlineStr">
        <is>
          <t>25-BlocDeLest</t>
        </is>
      </c>
      <c r="B74" s="45" t="inlineStr">
        <is>
          <t>Motivation &amp; Business</t>
        </is>
      </c>
      <c r="C74" s="45" t="inlineStr">
        <is>
          <t>3.5/4</t>
        </is>
      </c>
      <c r="D74" s="45" t="inlineStr">
        <is>
          <t>Matching culturel (Kulto) original et bien articulé. Quota quotidien intéressant. Public cible pertinent (18-35). Pas de modèle économique.</t>
        </is>
      </c>
    </row>
    <row r="75" ht="27.75" customHeight="1" s="33">
      <c r="A75" s="46" t="n"/>
      <c r="B75" s="45" t="inlineStr">
        <is>
          <t>Backlog &amp; US</t>
        </is>
      </c>
      <c r="C75" s="45" t="inlineStr">
        <is>
          <t>7.5/8</t>
        </is>
      </c>
      <c r="D75" s="45" t="inlineStr">
        <is>
          <t>Meilleur backlog : 11 US MVP + 5 post-MVP, MoSCoW, critères d'acceptation, endpoints REST, codes HTTP, story points Fibonacci. Très complet.</t>
        </is>
      </c>
    </row>
    <row r="76" ht="27.75" customHeight="1" s="33">
      <c r="A76" s="46" t="n"/>
      <c r="B76" s="45" t="inlineStr">
        <is>
          <t>Stratégie Sprints</t>
        </is>
      </c>
      <c r="C76" s="45" t="inlineStr">
        <is>
          <t>3.5/4</t>
        </is>
      </c>
      <c r="D76" s="45" t="inlineStr">
        <is>
          <t>5 sprints avec objectifs et livrables. 4 cérémonies agiles présentes (daily async). Sprint 2 plus chargé. Sprint 3 sans story points.</t>
        </is>
      </c>
    </row>
    <row r="77" ht="27.75" customHeight="1" s="33">
      <c r="A77" s="46" t="n"/>
      <c r="B77" s="45" t="inlineStr">
        <is>
          <t>Architecture</t>
        </is>
      </c>
      <c r="C77" s="45" t="inlineStr">
        <is>
          <t>4/4</t>
        </is>
      </c>
      <c r="D77" s="45" t="inlineStr">
        <is>
          <t>Schéma remarquablement clair (5 composants). 3 topics Kafka documentés. Flux Kafka end-to-end soignés. Modèle de données complet. Sécurité documentée.</t>
        </is>
      </c>
    </row>
    <row r="78" ht="27.75" customHeight="1" s="33">
      <c r="A78" s="47" t="n"/>
      <c r="B78" s="45" t="inlineStr">
        <is>
          <t>DevOps</t>
        </is>
      </c>
      <c r="C78" s="45" t="inlineStr">
        <is>
          <t>4.5/5</t>
        </is>
      </c>
      <c r="D78" s="45" t="inlineStr">
        <is>
          <t>GitFlow complet, GitHub Actions 4 étapes, JaCoCo 70%, GHCR. PR + 1 reviewer + CI verte. Manque CD automatisé vers staging.</t>
        </is>
      </c>
    </row>
    <row r="80" ht="27.75" customHeight="1" s="33">
      <c r="A80" s="43" t="inlineStr">
        <is>
          <t>26-SRVF</t>
        </is>
      </c>
      <c r="B80" s="45" t="inlineStr">
        <is>
          <t>Motivation &amp; Business</t>
        </is>
      </c>
      <c r="C80" s="45" t="inlineStr">
        <is>
          <t>3/4</t>
        </is>
      </c>
      <c r="D80" s="45" t="inlineStr">
        <is>
          <t>Besoin clair (catalogue collaboratif). Système de modération avec rôles distincts. Aucun modèle économique ni positionnement concurrentiel.</t>
        </is>
      </c>
    </row>
    <row r="81" ht="27.75" customHeight="1" s="33">
      <c r="A81" s="46" t="n"/>
      <c r="B81" s="45" t="inlineStr">
        <is>
          <t>Backlog &amp; US</t>
        </is>
      </c>
      <c r="C81" s="45" t="inlineStr">
        <is>
          <t>5/8</t>
        </is>
      </c>
      <c r="D81" s="45" t="inlineStr">
        <is>
          <t>18 US couvrant rôles, CRUD, modération, Kafka, sécurité. Pas de priorisation MVP/final. Descriptions lacunaires pour plusieurs US.</t>
        </is>
      </c>
    </row>
    <row r="82" ht="27.75" customHeight="1" s="33">
      <c r="A82" s="46" t="n"/>
      <c r="B82" s="45" t="inlineStr">
        <is>
          <t>Stratégie Sprints</t>
        </is>
      </c>
      <c r="C82" s="45" t="inlineStr">
        <is>
          <t>3/4</t>
        </is>
      </c>
      <c r="D82" s="45" t="inlineStr">
        <is>
          <t>Sprint 0 + Sprint 1 (MVP) + Sprint 2 (release), séquencement logique. Definition of Done pour Sprint 1. Cérémonies non mentionnées.</t>
        </is>
      </c>
    </row>
    <row r="83" ht="27.75" customHeight="1" s="33">
      <c r="A83" s="46" t="n"/>
      <c r="B83" s="45" t="inlineStr">
        <is>
          <t>Architecture</t>
        </is>
      </c>
      <c r="C83" s="45" t="inlineStr">
        <is>
          <t>3/4</t>
        </is>
      </c>
      <c r="D83" s="45" t="inlineStr">
        <is>
          <t>Schéma présent et lisible (Angular, Spring Boot+JWT, PostgreSQL, Kafka, CI/CD). Interactions Kafka/audit à expliciter davantage.</t>
        </is>
      </c>
    </row>
    <row r="84" ht="27.75" customHeight="1" s="33">
      <c r="A84" s="47" t="n"/>
      <c r="B84" s="45" t="inlineStr">
        <is>
          <t>DevOps</t>
        </is>
      </c>
      <c r="C84" s="45" t="inlineStr">
        <is>
          <t>5/5</t>
        </is>
      </c>
      <c r="D84" s="45" t="inlineStr">
        <is>
          <t>Remarquable : branches feature, MR obligatoire + review, pipeline bloquante. CD détaillé (tests unitaires, intégration, E2E, coverage, Docker build sur main).</t>
        </is>
      </c>
    </row>
    <row r="86" ht="27.75" customHeight="1" s="33">
      <c r="A86" s="43" t="inlineStr">
        <is>
          <t>27-SONORA</t>
        </is>
      </c>
      <c r="B86" s="45" t="inlineStr">
        <is>
          <t>Motivation &amp; Business</t>
        </is>
      </c>
      <c r="C86" s="45" t="inlineStr">
        <is>
          <t>2.5/4</t>
        </is>
      </c>
      <c r="D86" s="45" t="inlineStr">
        <is>
          <t>Streaming musical avec personas bien construits. Valeur ajoutée limitée vs Spotify/Deezer. Aucun modèle économique.</t>
        </is>
      </c>
    </row>
    <row r="87" ht="27.75" customHeight="1" s="33">
      <c r="A87" s="46" t="n"/>
      <c r="B87" s="45" t="inlineStr">
        <is>
          <t>Backlog &amp; US</t>
        </is>
      </c>
      <c r="C87" s="45" t="inlineStr">
        <is>
          <t>5/8</t>
        </is>
      </c>
      <c r="D87" s="45" t="inlineStr">
        <is>
          <t>Fonctionnalités essentielles couvertes. Priorisation Must/Should présente. US sans critères d'acceptation. Incohérences (US08/US12/US13 chevauchement).</t>
        </is>
      </c>
    </row>
    <row r="88" ht="27.75" customHeight="1" s="33">
      <c r="A88" s="46" t="n"/>
      <c r="B88" s="45" t="inlineStr">
        <is>
          <t>Stratégie Sprints</t>
        </is>
      </c>
      <c r="C88" s="45" t="inlineStr">
        <is>
          <t>2.5/4</t>
        </is>
      </c>
      <c r="D88" s="45" t="inlineStr">
        <is>
          <t>Séquencement logique. Livrables identifiés. Cérémonies non mentionnées. Sprint 2 de 5 jours seulement pour un scope très dense.</t>
        </is>
      </c>
    </row>
    <row r="89" ht="27.75" customHeight="1" s="33">
      <c r="A89" s="46" t="n"/>
      <c r="B89" s="45" t="inlineStr">
        <is>
          <t>Architecture</t>
        </is>
      </c>
      <c r="C89" s="45" t="inlineStr">
        <is>
          <t>3.5/4</t>
        </is>
      </c>
      <c r="D89" s="45" t="inlineStr">
        <is>
          <t>Architecture claire. Découpage packages exemplaire. Modèle de données complet. Spotify API non intégrée au schéma. Stockage local limité.</t>
        </is>
      </c>
    </row>
    <row r="90" ht="27.75" customHeight="1" s="33">
      <c r="A90" s="47" t="n"/>
      <c r="B90" s="45" t="inlineStr">
        <is>
          <t>DevOps</t>
        </is>
      </c>
      <c r="C90" s="45" t="inlineStr">
        <is>
          <t>4/5</t>
        </is>
      </c>
      <c r="D90" s="45" t="inlineStr">
        <is>
          <t>Pipeline CI/CD 4 étapes, JaCoCo 70%, GHCR. PR + reviewer + conventions commits. Pas de staging. Tests intégration repoussés au Sprint 3.</t>
        </is>
      </c>
    </row>
    <row r="92" ht="15" customHeight="1" s="33">
      <c r="A92" s="48">
        <f>= évaluation V2 (document modifié) ===</f>
        <v/>
      </c>
    </row>
    <row r="93" ht="55.2" customHeight="1" s="33">
      <c r="A93" s="49" t="inlineStr">
        <is>
          <t>16-Team6 (V2)</t>
        </is>
      </c>
      <c r="B93" s="50" t="inlineStr">
        <is>
          <t>Motivation &amp; Business</t>
        </is>
      </c>
      <c r="C93" s="51" t="n">
        <v>2.5</v>
      </c>
      <c r="D93" s="52" t="inlineStr">
        <is>
          <t>Nette amélioration. Besoin clairement identifié (simplifier les plateformes de jeux surchargées). Valeur ajoutée argumentée (interface simple, gestion interne + import externe, stack moderne). Modèle économique présent (sponsoring, publicité, version premium sans pub). Manque encore une analyse de marché et un positionnement concurrentiel vs Steam/Epic.</t>
        </is>
      </c>
    </row>
    <row r="94" ht="68.65000000000001" customHeight="1" s="33">
      <c r="A94" s="49" t="inlineStr">
        <is>
          <t>16-Team6 (V2)</t>
        </is>
      </c>
      <c r="B94" s="50" t="inlineStr">
        <is>
          <t>Backlog &amp; User Stories</t>
        </is>
      </c>
      <c r="C94" s="51" t="n">
        <v>6</v>
      </c>
      <c r="D94" s="52" t="inlineStr">
        <is>
          <t>Progrès majeur. 10 User Stories structurées par rôle (6 utilisateur, 4 admin). Critères d'acceptation au format Given/When/Then pour chaque US. MVP clairement défini (affichage liste, ajout admin, commande, frontend basique). Fonctionnalités complètes : CRUD, recherche, filtrage, recommandation via Kafka, import CSV, source externe. Manque : priorisation formelle (MoSCoW ou story points) et estimations de complexité.</t>
        </is>
      </c>
    </row>
    <row r="95" ht="68.65000000000001" customHeight="1" s="33">
      <c r="A95" s="49" t="inlineStr">
        <is>
          <t>16-Team6 (V2)</t>
        </is>
      </c>
      <c r="B95" s="50" t="inlineStr">
        <is>
          <t>Stratégie de Sprints</t>
        </is>
      </c>
      <c r="C95" s="51" t="n">
        <v>3</v>
      </c>
      <c r="D95" s="52" t="inlineStr">
        <is>
          <t>Amélioration sensible. Méthode Agile formalisée avec cérémonies : Daily meetings, Rétro fin de sprint, Sprint planning. 2 sprints de 2 semaines décomposés en 4 semaines thématiques logiques (S1: DB+backend, S2: API+frontend, S3: recherche+Kafka admin, S4: Kafka user+tests+déploiement). Erreur sur les dates du Sprint 2 (13 Avril - 24 Avril chevauche le Sprint 1). Sprint 2 reste chargé (Kafka, tests, UI, documentation, déploiement).</t>
        </is>
      </c>
    </row>
    <row r="96" ht="82.05" customHeight="1" s="33">
      <c r="A96" s="49" t="inlineStr">
        <is>
          <t>16-Team6 (V2)</t>
        </is>
      </c>
      <c r="B96" s="50" t="inlineStr">
        <is>
          <t>Architecture Logicielle</t>
        </is>
      </c>
      <c r="C96" s="51" t="n">
        <v>3</v>
      </c>
      <c r="D96" s="52" t="inlineStr">
        <is>
          <t>Transformation notable. Schéma d'architecture minimal clair : Entrée → Frontend Angular (User/Admin) → Backend Java SpringBoot → DB PostgreSQL + Notification Service via Kafka. Abandon de H2 au profit de PostgreSQL (recommandation suivie). Flux Kafka détaillé avec diagramme dédié : suggestion utilisateur → event Kafka → notification admin → accept/reject → mise à jour DB + notification utilisateur. Schéma de base de données (Games, User) avec cardinalités. Manque : détail des endpoints REST et nommage des topics Kafka.</t>
        </is>
      </c>
    </row>
    <row r="97" ht="68.65000000000001" customHeight="1" s="33">
      <c r="A97" s="49" t="inlineStr">
        <is>
          <t>16-Team6 (V2)</t>
        </is>
      </c>
      <c r="B97" s="50" t="inlineStr">
        <is>
          <t>Plateforme DevOps</t>
        </is>
      </c>
      <c r="C97" s="51" t="n">
        <v>3.5</v>
      </c>
      <c r="D97" s="52" t="inlineStr">
        <is>
          <t>Légère amélioration. CI/CD mieux décrit : build automatique, tests automatiques, image Docker, déploiement local. Workflow de collaboration détaillé : branch feature → MR → Review → Merge main → Build Maven → Docker build → Déploiement. Outils : Docker, GitHub (workflow/CI/CD), Maven. Manque : outils de couverture de code, environnement de staging, détail des étapes GitHub Actions.</t>
        </is>
      </c>
    </row>
    <row r="98" ht="15" customHeight="1" s="33">
      <c r="A98" s="53" t="inlineStr">
        <is>
          <t>16-Team6 (V2)</t>
        </is>
      </c>
      <c r="B98" s="53" t="inlineStr">
        <is>
          <t>TOTAL V2</t>
        </is>
      </c>
      <c r="C98" s="54" t="n">
        <v>18</v>
      </c>
      <c r="D98" s="55" t="inlineStr">
        <is>
          <t>V1: 10/25 | V2: 18.0/25 | Moyenne finale: 14.0/25</t>
        </is>
      </c>
    </row>
  </sheetData>
  <mergeCells count="16">
    <mergeCell ref="A56:A60"/>
    <mergeCell ref="A62:A66"/>
    <mergeCell ref="A68:A72"/>
    <mergeCell ref="A44:A48"/>
    <mergeCell ref="A8:A12"/>
    <mergeCell ref="A38:A42"/>
    <mergeCell ref="A2:A6"/>
    <mergeCell ref="A74:A78"/>
    <mergeCell ref="A92:D92"/>
    <mergeCell ref="A50:A54"/>
    <mergeCell ref="A20:A24"/>
    <mergeCell ref="A14:A18"/>
    <mergeCell ref="A86:A90"/>
    <mergeCell ref="A80:A84"/>
    <mergeCell ref="A32:A36"/>
    <mergeCell ref="A26:A3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cols>
    <col width="8" customWidth="1" style="32" min="1" max="1"/>
    <col width="20" customWidth="1" style="32" min="2" max="2"/>
    <col width="14" customWidth="1" style="32" min="3" max="3"/>
  </cols>
  <sheetData>
    <row r="1" ht="15" customHeight="1" s="33">
      <c r="A1" s="34" t="inlineStr">
        <is>
          <t>Rang</t>
        </is>
      </c>
      <c r="B1" s="34" t="inlineStr">
        <is>
          <t>Équipe</t>
        </is>
      </c>
      <c r="C1" s="34" t="inlineStr">
        <is>
          <t>TOTAL (/25)</t>
        </is>
      </c>
      <c r="D1" s="35" t="inlineStr">
        <is>
          <t>TOTAL V2 (/25)</t>
        </is>
      </c>
      <c r="E1" s="35" t="inlineStr">
        <is>
          <t>MOYENNE V1+V2 (/25)</t>
        </is>
      </c>
    </row>
    <row r="2" ht="15" customHeight="1" s="33">
      <c r="A2" s="56" t="n">
        <v>1</v>
      </c>
      <c r="B2" s="36" t="inlineStr">
        <is>
          <t>12-ANGULAR</t>
        </is>
      </c>
      <c r="C2" s="57" t="n">
        <v>23</v>
      </c>
    </row>
    <row r="3" ht="15" customHeight="1" s="33">
      <c r="A3" s="56" t="n">
        <v>1</v>
      </c>
      <c r="B3" s="36" t="inlineStr">
        <is>
          <t>24-GeoGuesser</t>
        </is>
      </c>
      <c r="C3" s="57" t="n">
        <v>23</v>
      </c>
    </row>
    <row r="4" ht="15" customHeight="1" s="33">
      <c r="A4" s="56" t="n">
        <v>1</v>
      </c>
      <c r="B4" s="36" t="inlineStr">
        <is>
          <t>25-BlocDeLest</t>
        </is>
      </c>
      <c r="C4" s="57" t="n">
        <v>23</v>
      </c>
    </row>
    <row r="5" ht="15" customHeight="1" s="33">
      <c r="A5" s="36" t="n">
        <v>4</v>
      </c>
      <c r="B5" s="36" t="inlineStr">
        <is>
          <t>13-TEAM3</t>
        </is>
      </c>
      <c r="C5" s="57" t="n">
        <v>22</v>
      </c>
    </row>
    <row r="6" ht="15" customHeight="1" s="33">
      <c r="A6" s="36" t="n">
        <v>4</v>
      </c>
      <c r="B6" s="36" t="inlineStr">
        <is>
          <t>23-LVC</t>
        </is>
      </c>
      <c r="C6" s="58" t="n">
        <v>22</v>
      </c>
    </row>
    <row r="7" ht="15" customHeight="1" s="33">
      <c r="A7" s="36" t="n">
        <v>6</v>
      </c>
      <c r="B7" s="36" t="inlineStr">
        <is>
          <t>26-SRVF</t>
        </is>
      </c>
      <c r="C7" s="58" t="n">
        <v>19</v>
      </c>
    </row>
    <row r="8" ht="15" customHeight="1" s="33">
      <c r="A8" s="36" t="n">
        <v>7</v>
      </c>
      <c r="B8" s="36" t="inlineStr">
        <is>
          <t>15-Team5</t>
        </is>
      </c>
      <c r="C8" s="58" t="n">
        <v>18.5</v>
      </c>
    </row>
    <row r="9" ht="15" customHeight="1" s="33">
      <c r="A9" s="36" t="n">
        <v>8</v>
      </c>
      <c r="B9" s="36" t="inlineStr">
        <is>
          <t>21-Cristaline</t>
        </is>
      </c>
      <c r="C9" s="58" t="n">
        <v>18</v>
      </c>
    </row>
    <row r="10" ht="15" customHeight="1" s="33">
      <c r="A10" s="36" t="n">
        <v>9</v>
      </c>
      <c r="B10" s="36" t="inlineStr">
        <is>
          <t>27-SONORA</t>
        </is>
      </c>
      <c r="C10" s="58" t="n">
        <v>17.5</v>
      </c>
    </row>
    <row r="11" ht="15" customHeight="1" s="33">
      <c r="A11" s="36" t="n">
        <v>10</v>
      </c>
      <c r="B11" s="36" t="inlineStr">
        <is>
          <t>18-Koen</t>
        </is>
      </c>
      <c r="C11" s="58" t="n">
        <v>17</v>
      </c>
    </row>
    <row r="12" ht="15" customHeight="1" s="33">
      <c r="A12" s="36" t="n">
        <v>11</v>
      </c>
      <c r="B12" s="36" t="inlineStr">
        <is>
          <t>17-GameSearch</t>
        </is>
      </c>
      <c r="C12" s="59" t="n">
        <v>15</v>
      </c>
    </row>
    <row r="13" ht="15" customHeight="1" s="33">
      <c r="A13" s="36" t="n">
        <v>12</v>
      </c>
      <c r="B13" s="36" t="inlineStr">
        <is>
          <t>22-GRAY</t>
        </is>
      </c>
      <c r="C13" s="59" t="n">
        <v>13</v>
      </c>
    </row>
    <row r="14" ht="15" customHeight="1" s="33">
      <c r="A14" s="36" t="n">
        <v>13</v>
      </c>
      <c r="B14" s="36" t="inlineStr">
        <is>
          <t>11-IMGB</t>
        </is>
      </c>
      <c r="C14" s="60" t="n">
        <v>11</v>
      </c>
    </row>
    <row r="15" ht="15" customHeight="1" s="33">
      <c r="A15" s="36" t="n">
        <v>13</v>
      </c>
      <c r="B15" s="36" t="inlineStr">
        <is>
          <t>14-GameTrade</t>
        </is>
      </c>
      <c r="C15" s="60" t="n">
        <v>11</v>
      </c>
    </row>
    <row r="16" ht="15" customHeight="1" s="33">
      <c r="A16" s="36" t="n">
        <v>15</v>
      </c>
      <c r="B16" s="36" t="inlineStr">
        <is>
          <t>16-Team6</t>
        </is>
      </c>
      <c r="C16" s="60" t="n">
        <v>10</v>
      </c>
      <c r="D16" s="41" t="n">
        <v>18</v>
      </c>
      <c r="E16" s="41" t="n">
        <v>14</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F19"/>
  <sheetViews>
    <sheetView showFormulas="0" showGridLines="1" showRowColHeaders="1" showZeros="1" rightToLeft="0" tabSelected="1" showOutlineSymbols="1" defaultGridColor="1" view="normal" topLeftCell="A16" colorId="64" zoomScale="100" zoomScaleNormal="100" zoomScalePageLayoutView="100" workbookViewId="0">
      <selection pane="topLeft" activeCell="A1" activeCellId="0" sqref="A1"/>
    </sheetView>
  </sheetViews>
  <sheetFormatPr baseColWidth="8" defaultColWidth="8.5390625" defaultRowHeight="15" zeroHeight="0" outlineLevelRow="0"/>
  <cols>
    <col width="16" customWidth="1" style="32" min="1" max="1"/>
    <col width="14" customWidth="1" style="32" min="2" max="2"/>
    <col width="50" customWidth="1" style="32" min="3" max="3"/>
    <col width="40" customWidth="1" style="32" min="4" max="4"/>
    <col width="50" customWidth="1" style="32" min="5" max="5"/>
    <col width="55" customWidth="1" style="32" min="6" max="6"/>
  </cols>
  <sheetData>
    <row r="1" ht="15" customHeight="1" s="33">
      <c r="A1" s="34" t="inlineStr">
        <is>
          <t>Équipe</t>
        </is>
      </c>
      <c r="B1" s="34" t="inlineStr">
        <is>
          <t>Verdict Kafka</t>
        </is>
      </c>
      <c r="C1" s="34" t="inlineStr">
        <is>
          <t>Analyse Kafka</t>
        </is>
      </c>
      <c r="D1" s="34" t="inlineStr">
        <is>
          <t>Technos à abandonner</t>
        </is>
      </c>
      <c r="E1" s="34" t="inlineStr">
        <is>
          <t>Points de vigilance</t>
        </is>
      </c>
      <c r="F1" s="34" t="inlineStr">
        <is>
          <t>Recommandations prioritaires</t>
        </is>
      </c>
    </row>
    <row r="2" ht="120" customHeight="1" s="33">
      <c r="A2" s="43" t="inlineStr">
        <is>
          <t>11-IMGB</t>
        </is>
      </c>
      <c r="B2" s="61" t="inlineStr">
        <is>
          <t>Artificiel</t>
        </is>
      </c>
      <c r="C2" s="45" t="inlineStr">
        <is>
          <t>Kafka listé dans la stack mais AUCUN cas d'usage décrit : pas de topic, pas de producteur, pas de consommateur. C'est un CRUD classique (notation de jeux) qui n'a aucun besoin réel de messaging asynchrone.</t>
        </is>
      </c>
      <c r="D2" s="45" t="inlineStr">
        <is>
          <t>ElasticSearch (non maîtrisé, marqué '?' dans leur doc), Jenkins (redondant avec GitLab CI), SonarQube (bonus, pas prioritaire). SvelteKit est un choix acceptable mais à assumer.</t>
        </is>
      </c>
      <c r="E2" s="45" t="inlineStr">
        <is>
          <t>Document très lacunaire : sprints 3-6 vides, pas de schéma d'architecture, pas de workflow DevOps. Risque fort de ne pas livrer un MVP fonctionnel sans recentrage rapide.</t>
        </is>
      </c>
      <c r="F2" s="45" t="inlineStr">
        <is>
          <t>1) Définir UN cas d'usage Kafka concret (ex: notification à l'ajout d'un avis, ou import asynchrone de jeux depuis une API externe)
2) Produire un schéma d'architecture minimal (Front/Back/Kafka/DB)
3) Compléter les sprints vides avec des objectifs concrets
4) Se concentrer sur : Spring Boot + SvelteKit + PostgreSQL + Kafka + GitHub CI
5) Priorité absolue : avoir un CRUD fonctionnel avant de toucher à Kafka</t>
        </is>
      </c>
    </row>
    <row r="3" ht="120" customHeight="1" s="33">
      <c r="A3" s="43" t="inlineStr">
        <is>
          <t>12-ANGULAR</t>
        </is>
      </c>
      <c r="B3" s="62" t="inlineStr">
        <is>
          <t>Bien motivé</t>
        </is>
      </c>
      <c r="C3" s="45" t="inlineStr">
        <is>
          <t>Ingestion B2B asynchrone via topic partner.catalog.import : des partenaires publient des lots de jeux en JSON, le backend consomme via @KafkaListener, valide et persiste. Cas d'usage classique et bien justifié.</t>
        </is>
      </c>
      <c r="D3" s="45" t="inlineStr">
        <is>
          <t>Stack observabilité (OpenTelemetry + Grafana Mimir + Loki) : excellente sur le papier mais représente des semaines de config. La reporter en bonus post-MVP. Jira est superflu si vous utilisez déjà GitHub Issues/Projects.</t>
        </is>
      </c>
      <c r="E3" s="45" t="inlineStr">
        <is>
          <t>Le partenaire externe sera simulé : prévoir un script ou endpoint de test dès le Sprint 1 pour démontrer Kafka end-to-end. Ne pas sous-estimer le temps d'intégration Kafka (sérialisation, gestion d'erreurs, dead letter queue).</t>
        </is>
      </c>
      <c r="F3" s="45" t="inlineStr">
        <is>
          <t>1) Livrer le flux Kafka fonctionnel (producer simulé -&gt; topic -&gt; consumer -&gt; DB) dès le Sprint 1
2) Reporter OpenTelemetry/Grafana en bonus après le MVP
3) Se concentrer sur les tests (unitaires + intégration Kafka avec Testcontainers)
4) Stack cible : Angular + Spring Boot + PostgreSQL + Kafka + GitHub Actions + Docker</t>
        </is>
      </c>
    </row>
    <row r="4" ht="120" customHeight="1" s="33">
      <c r="A4" s="43" t="inlineStr">
        <is>
          <t>13-TEAM3</t>
        </is>
      </c>
      <c r="B4" s="63" t="inlineStr">
        <is>
          <t>Motivé mais surdimensionné</t>
        </is>
      </c>
      <c r="C4" s="45" t="inlineStr">
        <is>
          <t>Kafka sert de bus événementiel entre 6 microservices : Marketplace, Catalog et UserExperience publient, le service Notification consomme pour pousser des alertes temps réel (via WebSocket). Le cas d'usage est valide mais noyé dans une architecture beaucoup trop complexe.</t>
        </is>
      </c>
      <c r="D4" s="45" t="inlineStr">
        <is>
          <t>URGENCE DE SIMPLIFICATION : abandonner Kubernetes, Terraform, Ansible, Elasticstack, Laravel (auth), et réduire les 6 microservices à 1 monolithe modulaire Spring Boot. Next.js est ok comme front. Chaque techno supplémentaire = des jours d'apprentissage perdus.</t>
        </is>
      </c>
      <c r="E4" s="45" t="inlineStr">
        <is>
          <t>Architecture irréaliste pour le temps imparti : 6 microservices + K8s + Terraform + 3 APIs externes + revente P2P + cartes cadeaux. Risque très élevé de ne rien livrer de fonctionnel. L'équipe a d'autres cours en parallèle.</t>
        </is>
      </c>
      <c r="F4" s="45" t="inlineStr">
        <is>
          <t>1) RECENTRER IMMÉDIATEMENT : 1 backend Spring Boot monolithique + Next.js + Kafka + PostgreSQL
2) Kafka : garder UN topic de notifications (ex: alerte baisse de prix)
3) MVP réaliste : catalogue IGDB + recherche + auth basique + 1 flux Kafka démontrable
4) Abandonner : K8s, Terraform, Ansible, Laravel, gamification, cartes cadeaux, revente P2P
5) Pipeline CI simple : GitHub Actions (build + tests + Docker)</t>
        </is>
      </c>
    </row>
    <row r="5" ht="120" customHeight="1" s="33">
      <c r="A5" s="43" t="inlineStr">
        <is>
          <t>14-GameTrade</t>
        </is>
      </c>
      <c r="B5" s="62" t="inlineStr">
        <is>
          <t>Bien motivé</t>
        </is>
      </c>
      <c r="C5" s="45" t="inlineStr">
        <is>
          <t>Notifications asynchrones lors de la création d'une annonce : le backend publie un événement Kafka, les acheteurs intéressés sont notifiés. Deux topics mentionnés (nouvelles annonces, événements utilisateurs). C'est simple, proportionné et démontrable — probablement l'usage le plus réaliste.</t>
        </is>
      </c>
      <c r="D5" s="45" t="inlineStr">
        <is>
          <t>Pas de technos superflues à éliminer. La stack est sobre (Spring Boot + React + PostgreSQL + Kafka + Docker). React est un choix acceptable comme frontend.</t>
        </is>
      </c>
      <c r="E5" s="45" t="inlineStr">
        <is>
          <t>Le document est très léger : 8 US sans critères, pas de schéma, pas de pipeline détaillé. Risque de partir sans direction claire. L'usage Kafka est bon mais le reste du projet est sous-spécifié.</t>
        </is>
      </c>
      <c r="F5" s="45" t="inlineStr">
        <is>
          <t>1) Compléter le backlog : ajouter les US d'auth, de recherche, de profil utilisateur
2) Dessiner un schéma d'architecture (même simple)
3) Détailler le pipeline CI (build -&gt; tests -&gt; Docker build)
4) Priorité : CRUD annonces fonctionnel + flux Kafka de notification
5) Écrire des tests dès le début (unitaires sur les services, intégration sur Kafka)</t>
        </is>
      </c>
    </row>
    <row r="6" ht="120" customHeight="1" s="33">
      <c r="A6" s="43" t="inlineStr">
        <is>
          <t>15-Team5</t>
        </is>
      </c>
      <c r="B6" s="63" t="inlineStr">
        <is>
          <t>Passable</t>
        </is>
      </c>
      <c r="C6" s="45" t="inlineStr">
        <is>
          <t>Topic game-imported déclenché lors d'un import depuis BoardGameGeek. Le payload est bien défini. Mais le consommateur ne fait qu'un 'log structuré' : Kafka est utilisé comme système de log glorifié. Le traitement asynchrone promis n'est pas concrétisé.</t>
        </is>
      </c>
      <c r="D6" s="45" t="inlineStr">
        <is>
          <t>Auth0 RBAC : ajouter un service d'auth externe complexifie inutilement. Utiliser Spring Security avec JWT simple suffit. L'API XML de BoardGameGeek (parsing XML-&gt;JSON) est une intégration non triviale : prévoir du temps.</t>
        </is>
      </c>
      <c r="E6" s="45" t="inlineStr">
        <is>
          <t>Le consommateur Kafka doit FAIRE quelque chose : sinon Kafka n'a aucune valeur ajoutée. L'intégration BoardGameGeek en XML est un piège chronophage potentiel.</t>
        </is>
      </c>
      <c r="F6" s="45" t="inlineStr">
        <is>
          <t>1) Donner un vrai rôle au consumer Kafka : enrichissement des données, mise à jour d'un cache, notification aux utilisateurs suivant ce jeu
2) Remplacer Auth0 par Spring Security + JWT simple
3) Commencer par un import BGG basique avant d'automatiser via Kafka
4) Écrire des tests d'intégration pour Kafka (Testcontainers)
5) Stack cible : Angular + Spring Boot + PostgreSQL + Kafka + GitHub Actions + Docker</t>
        </is>
      </c>
    </row>
    <row r="7" ht="120" customHeight="1" s="33">
      <c r="A7" s="43" t="inlineStr">
        <is>
          <t>16-Team6</t>
        </is>
      </c>
      <c r="B7" s="61" t="inlineStr">
        <is>
          <t>Artificiel</t>
        </is>
      </c>
      <c r="C7" s="45" t="inlineStr">
        <is>
          <t>Kafka mentionné comme 'événement' dans la stack mais aucun topic, producteur ou consommateur défini. Le cas d'usage 'commande de jeu' est vaguement évoqué mais un simple appel REST suffirait. H2 en mémoire + Kafka est une combinaison incohérente.</t>
        </is>
      </c>
      <c r="D7" s="45" t="inlineStr">
        <is>
          <t>H2 : remplacer par PostgreSQL (base réelle, nécessaire pour un projet sérieux). Pas d'autres technos superflues : la stack est trop simple plutôt que trop complexe.</t>
        </is>
      </c>
      <c r="E7" s="45" t="inlineStr">
        <is>
          <t>Document le plus faible (5 pages). Aucun schéma, aucun détail Kafka, base H2 en mémoire. L'équipe semble en difficulté sur la conception : un accompagnement renforcé est recommandé.</t>
        </is>
      </c>
      <c r="F7" s="45" t="inlineStr">
        <is>
          <t>1) URGENCE : définir un cas d'usage Kafka concret (ex: quand un admin ajoute un jeu, publier un événement consommé pour indexation ou notification)
2) Remplacer H2 par PostgreSQL
3) Dessiner un schéma d'architecture minimal
4) Étoffer le backlog avec des critères d'acceptation
5) Se concentrer sur un CRUD complet fonctionnel avant d'intégrer Kafka
6) Stack cible : Angular + Spring Boot + PostgreSQL + Kafka + Docker + GitHub Actions</t>
        </is>
      </c>
    </row>
    <row r="8" ht="120" customHeight="1" s="33">
      <c r="A8" s="43" t="inlineStr">
        <is>
          <t>17-GameSearch</t>
        </is>
      </c>
      <c r="B8" s="62" t="inlineStr">
        <is>
          <t>Bien motivé</t>
        </is>
      </c>
      <c r="C8" s="45" t="inlineStr">
        <is>
          <t>Deux topics clairement définis : game-ingestion-topic (partenaires -&gt; indexation) et game-ingestion-status-topic (retour d'état vers le partenaire). Schéma des messages détaillé. Tests Kafka avec Testcontainers prévus. C'est le cas d'usage Kafka le plus abouti techniquement.</t>
        </is>
      </c>
      <c r="D8" s="45" t="inlineStr">
        <is>
          <t>La stack est cohérente, pas de technos en trop. Objectif de couverture 80% ambitieux mais atteignable. React est un choix acceptable.</t>
        </is>
      </c>
      <c r="E8" s="45" t="inlineStr">
        <is>
          <t>ALERTE : aucune stratégie de sprints dans le document ! L'équipe a la technique mais pas la planification. Risque de travailler sans jalons et de livrer en retard.</t>
        </is>
      </c>
      <c r="F8" s="45" t="inlineStr">
        <is>
          <t>1) URGENCE : définir un sprint planning (découpage en 3-4 sprints avec objectifs)
2) Ajouter les US du profil Admin (manquantes)
3) L'usage Kafka est solide — le livrer tôt pour lever le risque technique
4) Ajouter des critères d'acceptation aux US
5) Stack cible : React + Spring Boot + PostgreSQL + Kafka + GitLab CI + Docker</t>
        </is>
      </c>
    </row>
    <row r="9" ht="120" customHeight="1" s="33">
      <c r="A9" s="43" t="inlineStr">
        <is>
          <t>18-Koen</t>
        </is>
      </c>
      <c r="B9" s="63" t="inlineStr">
        <is>
          <t>Motivé mais ambitieux</t>
        </is>
      </c>
      <c r="C9" s="45" t="inlineStr">
        <is>
          <t>Deux topics nommés : editor.promotion.created (promos éditeurs) et user.notification.alert (push STOMP). Le flux est Kafka -&gt; WebSocket -&gt; STOMP -&gt; client Angular. Honnêtement présenté comme un 'challenge technique'. Le cas d'usage est légitime (notification temps réel) mais la chaîne Kafka + WebSocket + STOMP est complexe.</t>
        </is>
      </c>
      <c r="D9" s="45" t="inlineStr">
        <is>
          <t>WebSocket/STOMP : la double couche Kafka + WebSocket pour des notifications est ambitieuse. Commencer par Kafka seul, ajouter WebSocket uniquement si le temps le permet. Réduire les APIs externes : 3 APIs (Jikan, AniList, MangaDex) c'est trop. En choisir UNE.</t>
        </is>
      </c>
      <c r="E9" s="45" t="inlineStr">
        <is>
          <t>Backlog trop maigre (8 US). La chaîne Kafka-&gt;WebSocket-&gt;STOMP est la partie la plus risquée techniquement. 3 APIs externes simultanées = 3 points de défaillance possibles.</t>
        </is>
      </c>
      <c r="F9" s="45" t="inlineStr">
        <is>
          <t>1) Choisir UNE SEULE API externe pour les métadonnées manga/anime
2) Implémenter Kafka sans WebSocket d'abord (consumer qui persiste en base)
3) Ajouter le push WebSocket/STOMP en bonus post-MVP
4) Étoffer le backlog (gestion compte, historique, recherche)
5) Stack cible : Angular + Spring Boot + PostgreSQL + Kafka + GitHub Actions + Docker</t>
        </is>
      </c>
    </row>
    <row r="10" ht="120" customHeight="1" s="33">
      <c r="A10" s="43" t="inlineStr">
        <is>
          <t>21-Cristaline</t>
        </is>
      </c>
      <c r="B10" s="63" t="inlineStr">
        <is>
          <t>Passable</t>
        </is>
      </c>
      <c r="C10" s="45" t="inlineStr">
        <is>
          <t>Kafka publie un événement à chaque ajout/modification/import de jeu depuis FreeToGame. L'équipe reconnaît elle-même que l'objectif est de 'démontrer une communication asynchrone'. Aucun consommateur ne fait quelque chose de significatif avec ces événements — c'est un Kafka de démonstration.</t>
        </is>
      </c>
      <c r="D10" s="45" t="inlineStr">
        <is>
          <t>H2 : remplacer par PostgreSQL. Le système d'inscription avec validation email (SMTP/Mailtrap + token) est chronophage : utiliser Spring Security + JWT simple sans validation email pour le MVP.</t>
        </is>
      </c>
      <c r="E10" s="45" t="inlineStr">
        <is>
          <t>L'usage Kafka est honnête mais creux : publier des événements sans consommateur utile n'a pas de valeur. Le système d'email est un piège à temps. Pas de schéma d'architecture visuel.</t>
        </is>
      </c>
      <c r="F10" s="45" t="inlineStr">
        <is>
          <t>1) Donner un vrai rôle au consumer Kafka : alimenter un flux d'activité, calculer des stats, envoyer des notifications
2) Remplacer H2 par PostgreSQL
3) Simplifier l'auth : JWT simple sans validation email pour le MVP
4) Produire un schéma d'architecture visuel
5) Stack cible : Angular + Spring Boot + PostgreSQL + Kafka + GitHub Actions + Docker</t>
        </is>
      </c>
    </row>
    <row r="11" ht="120" customHeight="1" s="33">
      <c r="A11" s="43" t="inlineStr">
        <is>
          <t>22-GRAY</t>
        </is>
      </c>
      <c r="B11" s="61" t="inlineStr">
        <is>
          <t>Artificiel</t>
        </is>
      </c>
      <c r="C11" s="45" t="inlineStr">
        <is>
          <t>Kafka présenté comme 'système de messagerie' entre services (recherche, paroles, sync karaoké, auth) mais aucun topic nommé, aucun flux concret. L'architecture microservices est surdimensionnée pour le projet. La synchronisation karaoké est un problème client (JS/WebSocket), pas un cas d'usage Kafka.</t>
        </is>
      </c>
      <c r="D11" s="45" t="inlineStr">
        <is>
          <t>L'API Spotify (intégration OAuth, quotas) est un risque fort. Le Karaoke Sync Service est extrêmement complexe (synchronisation temps réel des paroles avec la musique). Vue.js est un choix acceptable.</t>
        </is>
      </c>
      <c r="E11" s="45" t="inlineStr">
        <is>
          <t>Le scope fonctionnel est irréaliste : un karaoké synchronisé en temps réel avec l'API Spotify est un projet à part entière. Kafka n'a pas de cas d'usage naturel dans ce projet. Risque élevé de ne rien livrer.</t>
        </is>
      </c>
      <c r="F11" s="45" t="inlineStr">
        <is>
          <t>1) RECENTRER le MVP : recherche de chansons + affichage de paroles + playlist simple
2) Abandonner le Karaoke Sync Service (synchronisation temps réel) pour le MVP
3) Définir UN cas d'usage Kafka simple (ex: quand un utilisateur ajoute une chanson en favoris, publier un événement pour alimenter un classement populaire)
4) Choisir une source de paroles simple (API Lyrics) plutôt que de synchroniser avec Spotify
5) Stack cible : Vue.js + Spring Boot + PostgreSQL + Kafka + GitHub Actions + Docker</t>
        </is>
      </c>
    </row>
    <row r="12" ht="120" customHeight="1" s="33">
      <c r="A12" s="43" t="inlineStr">
        <is>
          <t>23-LVC</t>
        </is>
      </c>
      <c r="B12" s="62" t="inlineStr">
        <is>
          <t>Bien motivé</t>
        </is>
      </c>
      <c r="C12" s="45" t="inlineStr">
        <is>
          <t>Kafka découple Auction Manager et User Manager via les topics auction.created, auction.ended, bid.placed. Dans une plateforme d'enchères en temps réel, le découplage entre gestion des offres et notification des utilisateurs est légitime. Architecture sobre avec seulement 2 microservices.</t>
        </is>
      </c>
      <c r="D12" s="45" t="inlineStr">
        <is>
          <t>La stack est bien calibrée, pas de technos superflues. Attention toutefois à la BDD unique partagée entre 2 microservices : soit 2 schémas séparés, soit un monolithe modulaire.</t>
        </is>
      </c>
      <c r="E12" s="45" t="inlineStr">
        <is>
          <t>La BDD partagée est une tension architecturale à résoudre. Les US manquent encore de critères d'acceptation formels (pas de Given/When/Then). Le backlog et le planning sont désormais bien détaillés.</t>
        </is>
      </c>
      <c r="F12" s="45" t="inlineStr">
        <is>
          <t>1) Trancher la question BDD : soit 1 schéma par service (vrai microservices), soit monolithe modulaire (plus simple)
2) Livrer le flux Kafka enchère end-to-end dès le Sprint 1 (create auction -&gt; bid -&gt; notify)
3) Ajouter des critères d'acceptation formels aux US (Given/When/Then)
4) Stack cible : React + Spring Boot + PostgreSQL + Kafka + GitHub Actions + Docker</t>
        </is>
      </c>
    </row>
    <row r="13" ht="120" customHeight="1" s="33">
      <c r="A13" s="43" t="inlineStr">
        <is>
          <t>24-GeoGuesser</t>
        </is>
      </c>
      <c r="B13" s="63" t="inlineStr">
        <is>
          <t>Bien motivé mais surdimensionné</t>
        </is>
      </c>
      <c r="C13" s="45" t="inlineStr">
        <is>
          <t>4 topics Kafka bien définis pour le scoring temps réel (room.events, guess.submitted, score.calculated, round.update). Le cas d'usage est solide : découpler le calcul de score de la boucle de jeu pour ne pas bloquer les joueurs. Justifié dans un ADR de qualité. Mais 5 microservices + 4 topics pour un projet étudiant, c'est beaucoup.</t>
        </is>
      </c>
      <c r="D13" s="45" t="inlineStr">
        <is>
          <t>URGENCE : abandonner Kubernetes (GKE Autopilot), Terraform, Helm. Passer à un simple docker-compose. Redis (2 instances) est un luxe : commencer avec PostgreSQL seul. Authentik (OAuth) est surdimensionné : utiliser Spring Security + JWT.</t>
        </is>
      </c>
      <c r="E13" s="45" t="inlineStr">
        <is>
          <t>L'architecture est brillante sur le papier mais irréalisable dans le temps imparti avec K8s + Terraform + Helm. Le risque est de passer tout le projet sur l'infra sans écrire de code métier. L'Iframe Bridge noclip est un point technique original mais risqué (dépendance externe).</t>
        </is>
      </c>
      <c r="F13" s="45" t="inlineStr">
        <is>
          <t>1) SIMPLIFIER L'INFRA : docker-compose au lieu de K8s/Terraform/Helm
2) Réduire à 2-3 microservices max (Game+Scoring fusionnés, Lobby+Leaderboard fusionnés)
3) Garder 2 topics Kafka essentiels (guess.submitted et score.calculated)
4) Remplacer Redis par PostgreSQL pour le MVP
5) Remplacer Authentik par Spring Security + JWT
6) Faire le POC Iframe noclip en Sprint 0 pour valider la faisabilité
7) Stack cible : React + Spring Boot + PostgreSQL + Kafka + Docker Compose + GitHub Actions</t>
        </is>
      </c>
    </row>
    <row r="14" ht="120" customHeight="1" s="33">
      <c r="A14" s="43" t="inlineStr">
        <is>
          <t>25-BlocDeLest</t>
        </is>
      </c>
      <c r="B14" s="62" t="inlineStr">
        <is>
          <t>Bien motivé</t>
        </is>
      </c>
      <c r="C14" s="45" t="inlineStr">
        <is>
          <t>3 topics bien documentés : events-ingestion (partenaires externes), user-preferences-updated (matching), match-notifications (quotas). Le topic d'ingestion est le plus solide (pattern industriel classique). Un POC Kafka est prévu en Sprint 0 — démarche très mature. ADR documenté, monolithe modulaire assumé.</t>
        </is>
      </c>
      <c r="D14" s="45" t="inlineStr">
        <is>
          <t>La stack est volontairement sobre et parfaitement calibrée : monolithe Spring Boot + React + PostgreSQL + Kafka + Docker. Rien à retirer. C'est le projet le mieux dimensionné de la promotion.</t>
        </is>
      </c>
      <c r="E14" s="45" t="inlineStr">
        <is>
          <t>Sprint 2 plus chargé que Sprint 1 (29 vs 20 points). L'algorithme de matching par tags est un sujet en soi : rester simple (intersection de sets) sans chercher la perfection algorithmique.</t>
        </is>
      </c>
      <c r="F14" s="45" t="inlineStr">
        <is>
          <t>1) Exécuter le POC Kafka comme prévu en Sprint 0 — excellente idée
2) Commencer par le topic events-ingestion (le plus concret)
3) Garder le matching simple (intersection de tags, pas de ML)
4) Rééquilibrer Sprint 1 et Sprint 2 si possible
5) Continuez comme ça — c'est le dossier le mieux dimensionné</t>
        </is>
      </c>
    </row>
    <row r="15" ht="120" customHeight="1" s="33">
      <c r="A15" s="43" t="inlineStr">
        <is>
          <t>26-SRVF</t>
        </is>
      </c>
      <c r="B15" s="61" t="inlineStr">
        <is>
          <t>Artificiel</t>
        </is>
      </c>
      <c r="C15" s="45" t="inlineStr">
        <is>
          <t>Un seul topic game-events avec événements GAME_CREATED/UPDATED/DELETED, produit ET consommé dans la même application pour alimenter une table d'audit. C'est un bus de messagerie distribué utilisé comme appel de méthode local. Un @EntityListeners JPA ou un simple service d'audit aurait le même résultat sans Kafka.</t>
        </is>
      </c>
      <c r="D15" s="45" t="inlineStr">
        <is>
          <t>Cypress pour les tests E2E est pertinent mais chronophage à configurer en CI. Le reporter en bonus post-MVP. Le reste de la stack est cohérent (Angular + Spring Boot + PostgreSQL + Docker).</t>
        </is>
      </c>
      <c r="E15" s="45" t="inlineStr">
        <is>
          <t>L'usage Kafka intra-applicatif n'a aucune valeur architecturale. Malgré un excellent DevOps, le Kafka ne sera pas convaincant en démo. Plusieurs US ont des descriptions vides — backlog à compléter.</t>
        </is>
      </c>
      <c r="F15" s="45" t="inlineStr">
        <is>
          <t>1) REPENSER le cas d'usage Kafka : séparer producteur et consommateur (ex: un service externe d'import de jeux publie dans un topic, le backend consomme et persiste)
2) OU ajouter un 2ème service (microservice de notification ou d'analytics) comme consommateur
3) Compléter les descriptions des US vides
4) Reporter Cypress en bonus après le MVP
5) Stack cible : Angular + Spring Boot + PostgreSQL + Kafka + GitHub Actions + Docker</t>
        </is>
      </c>
    </row>
    <row r="16" ht="120" customHeight="1" s="33">
      <c r="A16" s="43" t="inlineStr">
        <is>
          <t>27-SONORA</t>
        </is>
      </c>
      <c r="B16" s="62" t="inlineStr">
        <is>
          <t>Bien motivé</t>
        </is>
      </c>
      <c r="C16" s="45" t="inlineStr">
        <is>
          <t>Deux topics pertinents : track.imported (enrichissement asynchrone des métadonnées via Spotify API) et track.played (alimentation historique d'écoute sans bloquer le lecteur). C'est un pattern classique (analytics événementielles) et probablement le cas d'usage le plus naturel de toutes les équipes.</t>
        </is>
      </c>
      <c r="D16" s="45" t="inlineStr">
        <is>
          <t>L'API Spotify est une dépendance risquée (quotas, disponibilité). Avoir un fallback. Le streaming HTTP Range Requests est bas niveau et non trivial : utiliser un lecteur audio HTML5 simple pour le MVP.</t>
        </is>
      </c>
      <c r="E16" s="45" t="inlineStr">
        <is>
          <t>Sprint 2 de seulement 5 jours pour un scope très dense (playlists, Smart Playlist, favoris, Kafka, Swagger). Angular + Kafka + streaming audio + Spotify API = 4 sujets complexes simultanés.</t>
        </is>
      </c>
      <c r="F16" s="45" t="inlineStr">
        <is>
          <t>1) Simplifier le streaming audio : lecteur HTML5 basique, pas de Range Requests pour le MVP
2) Avoir un fallback si Spotify API est indisponible (métadonnées saisies manuellement)
3) Reporter la Smart Playlist en post-MVP (trop complexe algorithmiquement)
4) Rééquilibrer le Sprint 2 (trop dense en 5 jours)
5) Livrer le flux Kafka track.played -&gt; historique dès le Sprint 1
6) Stack cible : Angular + Spring Boot + PostgreSQL + Kafka + GitHub Actions + Docker</t>
        </is>
      </c>
    </row>
    <row r="18" ht="15" customHeight="1" s="33">
      <c r="A18" s="48">
        <f>= recommandations V2 (document modifié) ===</f>
        <v/>
      </c>
    </row>
    <row r="19" ht="202.95" customHeight="1" s="33">
      <c r="A19" s="64" t="inlineStr">
        <is>
          <t>16-Team6 (V2)</t>
        </is>
      </c>
      <c r="B19" s="65" t="inlineStr">
        <is>
          <t>Pertinent</t>
        </is>
      </c>
      <c r="C19" s="65" t="inlineStr">
        <is>
          <t>Nette amélioration. Le cas d'usage Kafka est désormais concret et bien défini : lorsqu'un utilisateur suggère l'ajout d'un jeu, un événement Kafka est émis, ce qui déclenche une notification côté admin. L'admin accepte ou rejette la demande, ce qui génère un nouvel événement Kafka pour notifier l'utilisateur du résultat. Le flux est documenté avec un diagramme dédié montrant le cycle complet (suggestion → Kafka event → notify admin → accept/reject → update DB + notification user). C'est un vrai cas d'usage asynchrone qui justifie Kafka. Points à améliorer : nommer explicitement les topics Kafka (ex: game-suggestion, admin-decision), préciser le format des messages (JSON payload), et documenter la gestion des erreurs.</t>
        </is>
      </c>
      <c r="D19" s="65" t="inlineStr">
        <is>
          <t>H2 abandonné au profit de PostgreSQL : recommandation V1 suivie avec succès. La stack est désormais cohérente : Angular + Spring Boot + PostgreSQL + Kafka + Docker + GitHub/Maven. Aucune techno superflue à retirer. La stack reste simple et adaptée au projet.</t>
        </is>
      </c>
      <c r="E19" s="65" t="inlineStr">
        <is>
          <t>Document passé de 5 à 12 pages, progrès significatif. Points de vigilance restants :
- Erreur sur les dates du Sprint 2 (13 Avril chevauche le Sprint 1 du 16 Avril) : corriger impérativement.
- Sprint 2 (semaines 3+4) très chargé : Kafka user + tests + améliorations UI + documentation + déploiement.
- Modèle de données minimaliste (2 tables Games/User) : prévoir l'évolution (table commandes, table suggestions/notifications).
- Pas de priorisation formelle des US : risque de dérive si tout est traité au même niveau.
- L'équipe a démontré sa capacité à intégrer les retours, ce qui est encourageant.</t>
        </is>
      </c>
      <c r="F19" s="65" t="inlineStr">
        <is>
          <t>1) Corriger les dates du Sprint 2 (devrait être fin avril / début mai, pas chevaucher le Sprint 1)
2) Nommer les topics Kafka explicitement (ex: 'game-suggestion-topic', 'admin-decision-topic') et définir le format des messages JSON
3) Ajouter une priorisation MoSCoW ou story points aux User Stories pour mieux gérer la charge
4) Enrichir le modèle de données : ajouter une table Suggestions/Notifications pour tracer le workflow Kafka en base
5) Détailler les endpoints REST (méthode HTTP, URL, payload, codes retour) pour faciliter l'implémentation
6) Ajouter un outil de couverture de code (JaCoCo) dans le pipeline CI/CD
7) Alléger le Sprint 2 en repoussant documentation et améliorations UI en post-MVP si nécessaire</t>
        </is>
      </c>
    </row>
  </sheetData>
  <mergeCells count="1">
    <mergeCell ref="A18:F1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18" customWidth="1" style="33" min="1" max="1"/>
    <col width="12" customWidth="1" style="33" min="2" max="2"/>
    <col width="12" customWidth="1" style="33" min="3" max="3"/>
    <col width="45" customWidth="1" style="33" min="4" max="4"/>
    <col width="80" customWidth="1" style="33" min="5" max="5"/>
  </cols>
  <sheetData>
    <row r="1">
      <c r="A1" s="66" t="inlineStr">
        <is>
          <t>Équipe</t>
        </is>
      </c>
      <c r="B1" s="66" t="inlineStr">
        <is>
          <t>Nb Commits</t>
        </is>
      </c>
      <c r="C1" s="66" t="inlineStr">
        <is>
          <t>Nb Auteurs</t>
        </is>
      </c>
      <c r="D1" s="66" t="inlineStr">
        <is>
          <t>Détail Auteurs (commits)</t>
        </is>
      </c>
      <c r="E1" s="66" t="inlineStr">
        <is>
          <t>Synthèse</t>
        </is>
      </c>
    </row>
    <row r="2">
      <c r="A2" s="67" t="inlineStr">
        <is>
          <t>11-IMGB</t>
        </is>
      </c>
      <c r="B2" s="68" t="n">
        <v>15</v>
      </c>
      <c r="C2" s="67" t="inlineStr">
        <is>
          <t>1-2</t>
        </is>
      </c>
      <c r="D2" s="67" t="inlineStr">
        <is>
          <t>Paul Montagnac (14), rico (1)</t>
        </is>
      </c>
      <c r="E2" s="67" t="inlineStr">
        <is>
          <t>Projet porté par un seul développeur (Paul Montagnac) sous plusieurs identités git. Backend (JWT, services, Swagger, Docker) et frontend (homepage, auth). 15 commits du 26/02 au 21/03 avec un rythme régulier. Aucun autre membre visible. Contribution très déséquilibrée.</t>
        </is>
      </c>
    </row>
    <row r="3">
      <c r="A3" s="67" t="inlineStr">
        <is>
          <t>12-ANGULAR</t>
        </is>
      </c>
      <c r="B3" s="69" t="n">
        <v>83</v>
      </c>
      <c r="C3" s="67" t="inlineStr">
        <is>
          <t>4</t>
        </is>
      </c>
      <c r="D3" s="67" t="inlineStr">
        <is>
          <t>yohann.pech/yoyopch (67), Matheo C/Codeur09 (9), Mohamadou Eddaly KEBE (7)</t>
        </is>
      </c>
      <c r="E3" s="67" t="inlineStr">
        <is>
          <t>Deux dépôts séparés (stam-api et stam-front). Équipe très active avec 83 commits humains et 4 contributeurs. Yohann Pech (yoyopch/yohann.pech) mène le projet avec 67 commits : setup Spring Boot, intégration Kafka complète (consumer/producer, Testcontainers), CI/CD GitHub Actions, Docker, game management. Matheo C (9 commits) développe l API catalogue (CRUD jeux). Mohamadou Eddaly KEBE (7 commits) travaille sur la page admin et le détail jeu. Bonne organisation avec PRs et branches KAN-xx. Travail du 19/02 au 26/03.</t>
        </is>
      </c>
    </row>
    <row r="4">
      <c r="A4" s="67" t="inlineStr">
        <is>
          <t>13-TEAM3Juicy</t>
        </is>
      </c>
      <c r="B4" s="70" t="n">
        <v>95</v>
      </c>
      <c r="C4" s="67" t="inlineStr">
        <is>
          <t>5</t>
        </is>
      </c>
      <c r="D4" s="67" t="inlineStr">
        <is>
          <t>Corentin Dupaigne (~30), nlnguyen (~25), Spirolad (~16), DEU (~5), Claude (~2)</t>
        </is>
      </c>
      <c r="E4" s="67" t="inlineStr">
        <is>
          <t>Équipe très active avec architecture ambitieuse : microservices, K8s, Kafka, Laravel, Next.js. Corentin mène l'infra/DevOps, nlnguyen le frontend et Steam API, Spirolad la migration backend, DEU les tests e2e. Rythme très soutenu du 20 au 26 mars. Utilisation de Claude (IA) pour 2 commits.</t>
        </is>
      </c>
    </row>
    <row r="5">
      <c r="A5" s="67" t="inlineStr">
        <is>
          <t>14-GameTrade</t>
        </is>
      </c>
      <c r="B5" s="69" t="n">
        <v>8</v>
      </c>
      <c r="C5" s="67" t="inlineStr">
        <is>
          <t>1</t>
        </is>
      </c>
      <c r="D5" s="67" t="inlineStr">
        <is>
          <t>Yassine Azzouz (8)</t>
        </is>
      </c>
      <c r="E5" s="67" t="inlineStr">
        <is>
          <t>Très peu de commits et un seul contributeur visible. Setup DevOps initial, frontend basique et CRUD utilisateur. Rythme irrégulier avec des gaps importants. Aucun autre membre de l'équipe dans l'historique. Projet au stade précoce.</t>
        </is>
      </c>
    </row>
    <row r="6">
      <c r="A6" s="67" t="inlineStr">
        <is>
          <t>15-Team5</t>
        </is>
      </c>
      <c r="B6" s="69" t="n">
        <v>3</v>
      </c>
      <c r="C6" s="67" t="inlineStr">
        <is>
          <t>3</t>
        </is>
      </c>
      <c r="D6" s="67" t="inlineStr">
        <is>
          <t>Amina (1), lynouchka (1), Hajora (1)</t>
        </is>
      </c>
      <c r="E6" s="67" t="inlineStr">
        <is>
          <t>Seulement 3 commits sur toute la période. Trois auteurs visibles mais un seul commit chacun. Dernier commit le 4 mars (Sprint 0). Aucun code applicatif, uniquement structure projet et CI. Équipe en grande difficulté.</t>
        </is>
      </c>
    </row>
    <row r="7">
      <c r="A7" s="67" t="inlineStr">
        <is>
          <t>16-VAPEUR</t>
        </is>
      </c>
      <c r="B7" s="70" t="n">
        <v>31</v>
      </c>
      <c r="C7" s="67" t="inlineStr">
        <is>
          <t>2</t>
        </is>
      </c>
      <c r="D7" s="67" t="inlineStr">
        <is>
          <t>Coedo Quentin (~13), Olivier Bensemhoun (~18)</t>
        </is>
      </c>
      <c r="E7" s="67" t="inlineStr">
        <is>
          <t>Duo équilibré : Quentin gère le backend Spring Boot (H2→Postgres, CRUD, Swagger, tests), Olivier le frontend Angular (recherche, admin, auth). 31 commits avec un rythme qui s'accélère en mars. Volume correct.</t>
        </is>
      </c>
    </row>
    <row r="8">
      <c r="A8" s="67" t="inlineStr">
        <is>
          <t>17-MasterGame</t>
        </is>
      </c>
      <c r="B8" s="70" t="n">
        <v>37</v>
      </c>
      <c r="C8" s="67" t="inlineStr">
        <is>
          <t>3</t>
        </is>
      </c>
      <c r="D8" s="67" t="inlineStr">
        <is>
          <t>Samuel Dorismond (15), Darlin Kapata (13), Rodrigue Baste (7)</t>
        </is>
      </c>
      <c r="E8" s="67" t="inlineStr">
        <is>
          <t>Bonne répartition des rôles. Darlin : architecture backend en couches, features métier. Samuel : frontend React, enrichissement BDD, Docker. Rodrigue : DevOps (CI/CD GitLab, Dockerfiles, Watchtower). Sprint final intense les 25-27/03. Projet complet avec Kafka et PostgreSQL.</t>
        </is>
      </c>
    </row>
    <row r="9">
      <c r="A9" s="67" t="inlineStr">
        <is>
          <t>18-Koen</t>
        </is>
      </c>
      <c r="B9" s="68" t="n">
        <v>18</v>
      </c>
      <c r="C9" s="67" t="inlineStr">
        <is>
          <t>3</t>
        </is>
      </c>
      <c r="D9" s="67" t="inlineStr">
        <is>
          <t>Rayouuuuuu (~10), BryyPN (~4), Manaia (2)</t>
        </is>
      </c>
      <c r="E9" s="67" t="inlineStr">
        <is>
          <t>Contribution déséquilibrée. Rayouuuuuu concentré sur la documentation (conception, sprints). Bryan assure le setup technique (monorepo, Docker, CI/CD, Kafka). Manaia sur l'authentification. Beaucoup de docs mais peu de code applicatif visible.</t>
        </is>
      </c>
    </row>
    <row r="10">
      <c r="A10" s="67" t="inlineStr">
        <is>
          <t>21-Cristaline</t>
        </is>
      </c>
      <c r="B10" s="68" t="n">
        <v>16</v>
      </c>
      <c r="C10" s="67" t="inlineStr">
        <is>
          <t>4-5</t>
        </is>
      </c>
      <c r="D10" s="67" t="inlineStr">
        <is>
          <t>Nadir Koudri (9), Arthur (2), Alexandre (1), DOOMGAP (1), GazoUtopie (1)</t>
        </is>
      </c>
      <c r="E10" s="67" t="inlineStr">
        <is>
          <t>Contribution très déséquilibrée. Nadir porte l'essentiel (API skeleton, CI, liaison front-API). Les autres interviennent ponctuellement. Gap d'activité entre le 23/02 et le 14/03. Projet basique de notation de jeux.</t>
        </is>
      </c>
    </row>
    <row r="11">
      <c r="A11" s="67" t="inlineStr">
        <is>
          <t>22-GRAY</t>
        </is>
      </c>
      <c r="B11" s="69" t="n">
        <v>17</v>
      </c>
      <c r="C11" s="67" t="inlineStr">
        <is>
          <t>2</t>
        </is>
      </c>
      <c r="D11" s="67" t="inlineStr">
        <is>
          <t>Ghadi Yammine (15), antoine.ganeau (2)</t>
        </is>
      </c>
      <c r="E11" s="67" t="inlineStr">
        <is>
          <t>Deux dépôts séparés (singify-back et singify-front). Ghadi Yammine porte le projet avec 15 commits le 26/03 : setup complet Spring Boot (models, config, controllers, DTOs, security), endpoints Song/Library/Lyrics, Kafka init, tests unitaires/intégration, CI/CD GitHub Actions. antoine.ganeau a initialisé le frontend Angular le 17/03. Grosse journée productive le 26/03 mais activité concentrée sur un seul jour.</t>
        </is>
      </c>
    </row>
    <row r="12">
      <c r="A12" s="67" t="inlineStr">
        <is>
          <t>23-LVC</t>
        </is>
      </c>
      <c r="B12" s="70" t="n">
        <v>99</v>
      </c>
      <c r="C12" s="67" t="inlineStr">
        <is>
          <t>5</t>
        </is>
      </c>
      <c r="D12" s="67" t="inlineStr">
        <is>
          <t>Axel Maral (~20), DemoxDev (~22), Quentin Dumont (~20), Onur Genc (~12), Aurélien Hurand (~4)</t>
        </is>
      </c>
      <c r="E12" s="67" t="inlineStr">
        <is>
          <t>Équipe la plus performante : 99 commits, architecture microservices (enchères d'art). Axel : notifications/tests/CI. DemoxDev : frontend marketplace. Quentin : backend enchères/Kafka. Onur : JWT/events Kafka. Aurélien : modération admin. Rythme très soutenu, projet le plus mature.</t>
        </is>
      </c>
    </row>
    <row r="13">
      <c r="A13" s="67" t="inlineStr">
        <is>
          <t>24-GeoGuesser</t>
        </is>
      </c>
      <c r="B13" s="70" t="n">
        <v>72</v>
      </c>
      <c r="C13" s="67" t="inlineStr">
        <is>
          <t>4</t>
        </is>
      </c>
      <c r="D13" s="67" t="inlineStr">
        <is>
          <t>Robin Vidal (~18), Naim (~18), Michael Rousseau (~16), Marie-Lou (~12)</t>
        </is>
      </c>
      <c r="E13" s="67" t="inlineStr">
        <is>
          <t>Répartition très équilibrée (~15-18 commits chacun). Robin : infra Terraform GKE/K8s. Naim : service noclip/auth. Michael : game-service/tests. Marie-Lou : frontend/API. Architecture microservices sur Google Cloud. GeoGuessr avec cartes 3D (noclip).</t>
        </is>
      </c>
    </row>
    <row r="14">
      <c r="A14" s="67" t="inlineStr">
        <is>
          <t>25-BlocDeLest</t>
        </is>
      </c>
      <c r="B14" s="68" t="n">
        <v>21</v>
      </c>
      <c r="C14" s="67" t="inlineStr">
        <is>
          <t>3</t>
        </is>
      </c>
      <c r="D14" s="67" t="inlineStr">
        <is>
          <t>Yasminisasleep (10), maria.khvatova (10), baptiste.cormorant (1)</t>
        </is>
      </c>
      <c r="E14" s="67" t="inlineStr">
        <is>
          <t>Deux contributrices principales avec répartition équilibrée. Yasmine a posé les bases (conception, Spring Boot, React, Docker, CI Jacoco). Maria concentre son travail le 26/03 (JWT, tests 70% coverage). Rythme irrégulier. Baptiste quasi-absent (1 commit).</t>
        </is>
      </c>
    </row>
    <row r="15">
      <c r="A15" s="67" t="inlineStr">
        <is>
          <t>26-SVRF</t>
        </is>
      </c>
      <c r="B15" s="70" t="n">
        <v>76</v>
      </c>
      <c r="C15" s="67" t="inlineStr">
        <is>
          <t>4</t>
        </is>
      </c>
      <c r="D15" s="67" t="inlineStr">
        <is>
          <t>SunnyBara (~31), Romain Vidal (~22), Ozone92 (~15), Tchouka-Vanelle (~8)</t>
        </is>
      </c>
      <c r="E15" s="67" t="inlineStr">
        <is>
          <t>Équipe bien organisée avec 76 commits. SunnyBara et Romain sont les moteurs : Sunny gère le backend Spring Boot (CRUD, Kafka, tests), Romain le frontend Angular (pages, composants, Docker). Ozone92 assure le CI/CD. Utilisation active des Pull Requests. Rythme régulier.</t>
        </is>
      </c>
    </row>
    <row r="16">
      <c r="A16" s="67" t="inlineStr">
        <is>
          <t>27-sonora</t>
        </is>
      </c>
      <c r="B16" s="69" t="n">
        <v>8</v>
      </c>
      <c r="C16" s="67" t="inlineStr">
        <is>
          <t>3-4</t>
        </is>
      </c>
      <c r="D16" s="67" t="inlineStr">
        <is>
          <t>Rachel Digna (3), Eva Doumbe (3), Clara1505 (1), aida.goumble (1)</t>
        </is>
      </c>
      <c r="E16" s="67" t="inlineStr">
        <is>
          <t>Très peu d'activité (8 commits). Rachel : setup initial en février. Eva : Docker/CI le 26/03. Long silence d'un mois (25/02-26/03). Tout le travail technique concentré sur la dernière journée. Projet très en retard, pas de code applicatif visible.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18" customWidth="1" style="33" min="1" max="1"/>
    <col width="12" customWidth="1" style="33" min="2" max="2"/>
    <col width="12" customWidth="1" style="33" min="3" max="3"/>
    <col width="45" customWidth="1" style="33" min="4" max="4"/>
    <col width="80" customWidth="1" style="33" min="5" max="5"/>
  </cols>
  <sheetData>
    <row r="1">
      <c r="A1" s="66" t="inlineStr">
        <is>
          <t>Équipe</t>
        </is>
      </c>
      <c r="B1" s="66" t="inlineStr">
        <is>
          <t>Nb Commits</t>
        </is>
      </c>
      <c r="C1" s="66" t="inlineStr">
        <is>
          <t>Nb Auteurs</t>
        </is>
      </c>
      <c r="D1" s="66" t="inlineStr">
        <is>
          <t>Détail Auteurs (commits)</t>
        </is>
      </c>
      <c r="E1" s="66" t="inlineStr">
        <is>
          <t>Synthèse</t>
        </is>
      </c>
    </row>
    <row r="2">
      <c r="A2" s="67" t="inlineStr">
        <is>
          <t>11-IMGB</t>
        </is>
      </c>
      <c r="B2" s="69" t="n">
        <v>3</v>
      </c>
      <c r="C2" s="67" t="inlineStr">
        <is>
          <t>1</t>
        </is>
      </c>
      <c r="D2" s="67" t="inlineStr">
        <is>
          <t>Paul Montagnac (3)</t>
        </is>
      </c>
      <c r="E2" s="67" t="inlineStr">
        <is>
          <t>Seulement 3 commits le 27/03, tous par Paul Montagnac (pages détail jeu et admin). Aucune activité après le 27/03. Préoccupant pour un sprint de 10 jours. Les autres membres toujours absents du dépôt.</t>
        </is>
      </c>
    </row>
    <row r="3">
      <c r="A3" s="67" t="inlineStr">
        <is>
          <t>12-ANGULAR</t>
        </is>
      </c>
      <c r="B3" s="69" t="n">
        <v>42</v>
      </c>
      <c r="C3" s="67" t="inlineStr">
        <is>
          <t>2</t>
        </is>
      </c>
      <c r="D3" s="67" t="inlineStr">
        <is>
          <t>yoyopch (29), yohann.pech (13)</t>
        </is>
      </c>
      <c r="E3" s="67" t="inlineStr">
        <is>
          <t>42 commits humains concentrés les 27-28/03, portés par 2 contributeurs (probablement la même personne : Yohann Pech sous deux identités git). Focus principal sur l industrialisation : pipeline CI auto-release avec release-it et semantic versioning, Docker integration, optimisation des workflows GitHub Actions (skip CI sur commits de release). Côté fonctionnel : game management et styling page d accueil. Matheo C et Mohamadou Eddaly KEBE absents sur cette période.</t>
        </is>
      </c>
    </row>
    <row r="4">
      <c r="A4" s="67" t="inlineStr">
        <is>
          <t>13-TEAM3Juicy</t>
        </is>
      </c>
      <c r="B4" s="70" t="n">
        <v>37</v>
      </c>
      <c r="C4" s="67" t="inlineStr">
        <is>
          <t>6</t>
        </is>
      </c>
      <c r="D4" s="67" t="inlineStr">
        <is>
          <t>Nhat Linh Nguyen (20), Corentin Dupaigne (6), DEU (5), Jules Ladaigue (2), Spirolad (1)</t>
        </is>
      </c>
      <c r="E4" s="67" t="inlineStr">
        <is>
          <t>Équipe la plus active (37 commits, 6 contributeurs). Nhat Linh domine le frontend (carousel, panier, profil, wallet). Corentin gère l'infra K3s et le CD. DEU contribue des tests backend. Travail du 27/03 au 03/04. Bonne répartition frontend/backend/DevOps.</t>
        </is>
      </c>
    </row>
    <row r="5">
      <c r="A5" s="67" t="inlineStr">
        <is>
          <t>14-GameTrade</t>
        </is>
      </c>
      <c r="B5" s="69" t="n">
        <v>0</v>
      </c>
      <c r="C5" s="67" t="inlineStr">
        <is>
          <t>0</t>
        </is>
      </c>
      <c r="D5" s="67" t="inlineStr">
        <is>
          <t>N/A</t>
        </is>
      </c>
      <c r="E5" s="67" t="inlineStr">
        <is>
          <t>Aucun commit sur la période. Dernier commit le 22/03. Équipe complètement inactive depuis plus de deux semaines. Projet potentiellement abandonné ou travail sur un dépôt non référencé.</t>
        </is>
      </c>
    </row>
    <row r="6">
      <c r="A6" s="67" t="inlineStr">
        <is>
          <t>15-Team5</t>
        </is>
      </c>
      <c r="B6" s="69" t="n">
        <v>6</v>
      </c>
      <c r="C6" s="67" t="inlineStr">
        <is>
          <t>2</t>
        </is>
      </c>
      <c r="D6" s="67" t="inlineStr">
        <is>
          <t>Christina Lopes (3), Lyna Medjedoub (3)</t>
        </is>
      </c>
      <c r="E6" s="67" t="inlineStr">
        <is>
          <t>6 commits avec 2 contributrices. Répartition équilibrée : Lyna sur l'architecture Spring Boot et le frontend, Christina sur les entités et la documentation. Travail du 27/03 au 02/04. Projet en phase de structuration. Volume faible mais en progression.</t>
        </is>
      </c>
    </row>
    <row r="7">
      <c r="A7" s="67" t="inlineStr">
        <is>
          <t>16-VAPEUR</t>
        </is>
      </c>
      <c r="B7" s="69" t="n">
        <v>7</v>
      </c>
      <c r="C7" s="67" t="inlineStr">
        <is>
          <t>2</t>
        </is>
      </c>
      <c r="D7" s="67" t="inlineStr">
        <is>
          <t>Lara (4), Coedo Quentin (3)</t>
        </is>
      </c>
      <c r="E7" s="67" t="inlineStr">
        <is>
          <t>7 commits concentrés sur le 27/03 uniquement. Lara met en place la CI/CD (pipeline Maven), Quentin travaille sur les tests backend et conventions. Aucune activité après le 27/03. Focus sur l'industrialisation plutôt que les fonctionnalités.</t>
        </is>
      </c>
    </row>
    <row r="8">
      <c r="A8" s="67" t="inlineStr">
        <is>
          <t>17-MasterGame</t>
        </is>
      </c>
      <c r="B8" s="69" t="n">
        <v>5</v>
      </c>
      <c r="C8" s="67" t="inlineStr">
        <is>
          <t>1</t>
        </is>
      </c>
      <c r="D8" s="67" t="inlineStr">
        <is>
          <t>Rodrigue Baste (5)</t>
        </is>
      </c>
      <c r="E8" s="67" t="inlineStr">
        <is>
          <t>5 commits le 27/03 par un seul contributeur (Rodrigue). DevOps (GitLab CI, scripts) et backend (login, mise en recette). Aucune activité après. Les autres membres (Samuel, Darlin) ne contribuent plus au dépôt sur cette période.</t>
        </is>
      </c>
    </row>
    <row r="9">
      <c r="A9" s="67" t="inlineStr">
        <is>
          <t>18-Koen</t>
        </is>
      </c>
      <c r="B9" s="69" t="n">
        <v>2</v>
      </c>
      <c r="C9" s="67" t="inlineStr">
        <is>
          <t>1</t>
        </is>
      </c>
      <c r="D9" s="67" t="inlineStr">
        <is>
          <t>Bryan Phan Nguyen (2)</t>
        </is>
      </c>
      <c r="E9" s="67" t="inlineStr">
        <is>
          <t>Activité très faible : 2 commits le 27/03 (fix algo, merge sprint 2). Un seul contributeur visible. Aucune activité après le 27/03. Rythme insuffisant et manque de visibilité des autres membres.</t>
        </is>
      </c>
    </row>
    <row r="10">
      <c r="A10" s="67" t="inlineStr">
        <is>
          <t>21-Cristaline</t>
        </is>
      </c>
      <c r="B10" s="68" t="n">
        <v>12</v>
      </c>
      <c r="C10" s="67" t="inlineStr">
        <is>
          <t>4</t>
        </is>
      </c>
      <c r="D10" s="67" t="inlineStr">
        <is>
          <t>Nadir Koudri (5), « a » (2), Prime Gwagju (1), Alexandre Leclaire (1)</t>
        </is>
      </c>
      <c r="E10" s="67" t="inlineStr">
        <is>
          <t>12 commits sur une seule journée (27/03) avec 4 contributeurs. Nadir reste le moteur (profils, Docker). Features : favoris, profils, rating. Bonne utilisation des PRs. Mais toute l'activité concentrée sur un seul jour, aucune activité ensuite.</t>
        </is>
      </c>
    </row>
    <row r="11">
      <c r="A11" s="67" t="inlineStr">
        <is>
          <t>22-GRAY</t>
        </is>
      </c>
      <c r="B11" s="69" t="n">
        <v>6</v>
      </c>
      <c r="C11" s="67" t="inlineStr">
        <is>
          <t>2</t>
        </is>
      </c>
      <c r="D11" s="67" t="inlineStr">
        <is>
          <t>Yahya Hijazi (5), Ghadi Yammine (1)</t>
        </is>
      </c>
      <c r="E11" s="67" t="inlineStr">
        <is>
          <t>6 commits les 27-28/03 avec 2 contributeurs. Yahya Hijazi prend le relais sur le DevOps : Kafka, Docker, CI/CD, Dockerfile frontend. Ghadi Yammine corrige le streaming audio depuis GCS. Nouveau contributeur actif (Yahya) par rapport à P1. Aucune activité après le 28/03, antoine.ganeau absent sur cette période.</t>
        </is>
      </c>
    </row>
    <row r="12">
      <c r="A12" s="67" t="inlineStr">
        <is>
          <t>23-LVC</t>
        </is>
      </c>
      <c r="B12" s="69" t="n">
        <v>2</v>
      </c>
      <c r="C12" s="67" t="inlineStr">
        <is>
          <t>1</t>
        </is>
      </c>
      <c r="D12" s="67" t="inlineStr">
        <is>
          <t>Samy.Layaida (2)</t>
        </is>
      </c>
      <c r="E12" s="67" t="inlineStr">
        <is>
          <t>Seulement 2 commits le 27/03 par un seul contributeur (Samy Layaida). Commits denses (matching, profils utilisateurs, UX) mais aucun autre membre actif. Aucune activité après le 27/03. Chute d'activité notable par rapport à la période 1 (99→2 commits).</t>
        </is>
      </c>
    </row>
    <row r="13">
      <c r="A13" s="67" t="inlineStr">
        <is>
          <t>24-GeoGuesser</t>
        </is>
      </c>
      <c r="B13" s="68" t="n">
        <v>18</v>
      </c>
      <c r="C13" s="67" t="inlineStr">
        <is>
          <t>5</t>
        </is>
      </c>
      <c r="D13" s="67" t="inlineStr">
        <is>
          <t>Marie-Lou (8), Robin (3), Naim (3), Michael Rousseau (3)</t>
        </is>
      </c>
      <c r="E13" s="67" t="inlineStr">
        <is>
          <t>Équipe bien active avec 18 commits et 5 contributeurs du 27/03 au 04/04. Marie-Lou porte l'auth frontend et lobby. Robin gère K8s (pgadmin, postgresql). Naim développe l'auth JWKS. Michael travaille sur le gameplay et HTTPS. Bonne répartition et rythme régulier.</t>
        </is>
      </c>
    </row>
    <row r="14">
      <c r="A14" s="67" t="inlineStr">
        <is>
          <t>25-BlocDeLest</t>
        </is>
      </c>
      <c r="B14" s="69" t="n">
        <v>2</v>
      </c>
      <c r="C14" s="67" t="inlineStr">
        <is>
          <t>1</t>
        </is>
      </c>
      <c r="D14" s="67" t="inlineStr">
        <is>
          <t>Samy.Layaida (2)</t>
        </is>
      </c>
      <c r="E14" s="67" t="inlineStr">
        <is>
          <t>Seulement 2 commits le 27/03 par Samy Layaida (matching system, UX frontend). Activité quasi-nulle sur la période. Les contributrices de la période 1 (Yasmine, Maria) ne sont plus actives. Situation préoccupante.</t>
        </is>
      </c>
    </row>
    <row r="15">
      <c r="A15" s="67" t="inlineStr">
        <is>
          <t>26-SVRF</t>
        </is>
      </c>
      <c r="B15" s="68" t="n">
        <v>28</v>
      </c>
      <c r="C15" s="67" t="inlineStr">
        <is>
          <t>3</t>
        </is>
      </c>
      <c r="D15" s="67" t="inlineStr">
        <is>
          <t>Romain Vidal (14), Ozone92 (8), Tchouka-Vanelle (6)</t>
        </is>
      </c>
      <c r="E15" s="67" t="inlineStr">
        <is>
          <t>Très bonne activité (28 commits) du 27/03 au 05/04. Romain porte le frontend (login/register, articles, interceptors) et CI/CD. Tchouka-Vanelle se concentre sur les tests (controllers, services, Jacoco). Ozone92 gère les PRs et Docker registry. SunnyBara absent sur cette période.</t>
        </is>
      </c>
    </row>
    <row r="16">
      <c r="A16" s="67" t="inlineStr">
        <is>
          <t>27-sonora</t>
        </is>
      </c>
      <c r="B16" s="68" t="n">
        <v>22</v>
      </c>
      <c r="C16" s="67" t="inlineStr">
        <is>
          <t>2</t>
        </is>
      </c>
      <c r="D16" s="67" t="inlineStr">
        <is>
          <t>Clara Sion Saunier (17), Aida Goumble (5)</t>
        </is>
      </c>
      <c r="E16" s="67" t="inlineStr">
        <is>
          <t>Forte progression par rapport à P1 (8→22 commits). Clara domine (17 commits) avec le setup complet du frontend Angular (routing, auth, 6+ pages). Aida contribue au backend (CRUD catalogue, Jacoco). Travail du 27/03 au 01/04. Charge déséquilibrée mais projet qui avance.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18" customWidth="1" style="33" min="1" max="1"/>
    <col width="12" customWidth="1" style="33" min="2" max="2"/>
    <col width="12" customWidth="1" style="33" min="3" max="3"/>
    <col width="45" customWidth="1" style="33" min="4" max="4"/>
    <col width="80" customWidth="1" style="33" min="5" max="5"/>
  </cols>
  <sheetData>
    <row r="1">
      <c r="A1" s="66" t="inlineStr">
        <is>
          <t>Équipe</t>
        </is>
      </c>
      <c r="B1" s="66" t="inlineStr">
        <is>
          <t>Nb Commits</t>
        </is>
      </c>
      <c r="C1" s="66" t="inlineStr">
        <is>
          <t>Nb Auteurs</t>
        </is>
      </c>
      <c r="D1" s="66" t="inlineStr">
        <is>
          <t>Détail Auteurs (commits)</t>
        </is>
      </c>
      <c r="E1" s="66" t="inlineStr">
        <is>
          <t>Synthèse</t>
        </is>
      </c>
    </row>
    <row r="2">
      <c r="A2" s="67" t="inlineStr">
        <is>
          <t>11-IMGB</t>
        </is>
      </c>
      <c r="B2" s="67" t="n">
        <v>0</v>
      </c>
      <c r="C2" s="67" t="inlineStr">
        <is>
          <t>0</t>
        </is>
      </c>
      <c r="D2" s="67" t="inlineStr">
        <is>
          <t>N/A</t>
        </is>
      </c>
      <c r="E2" s="67" t="inlineStr">
        <is>
          <t>Aucun commit sur la période. Troisième semaine consécutive sans activité significative. Projet apparemment abandonné ou travail sur un dépôt non référencé.</t>
        </is>
      </c>
    </row>
    <row r="3">
      <c r="A3" s="67" t="inlineStr">
        <is>
          <t>12-ANGULAR</t>
        </is>
      </c>
      <c r="B3" s="67" t="n">
        <v>0</v>
      </c>
      <c r="C3" s="67" t="inlineStr">
        <is>
          <t>0</t>
        </is>
      </c>
      <c r="D3" s="67" t="inlineStr">
        <is>
          <t>N/A</t>
        </is>
      </c>
      <c r="E3" s="67" t="inlineStr">
        <is>
          <t>Deux dépôts séparés (stam-api et stam-front) bien identifiés sur GitHub. Aucun commit depuis le 28/03. Équipe inactive depuis plus de deux semaines malgré une activité très soutenue en P1 (83 commits) et P2 (42 commits). Les autres membres (Matheo C, Mohamadou Eddaly KEBE) n ont plus contribué depuis P1.</t>
        </is>
      </c>
    </row>
    <row r="4">
      <c r="A4" s="67" t="inlineStr">
        <is>
          <t>13-TEAM3Juicy</t>
        </is>
      </c>
      <c r="B4" s="67" t="n">
        <v>15</v>
      </c>
      <c r="C4" s="67" t="inlineStr">
        <is>
          <t>2</t>
        </is>
      </c>
      <c r="D4" s="67" t="inlineStr">
        <is>
          <t>Nhat Linh Nguyen (13), Spirolad (2)</t>
        </is>
      </c>
      <c r="E4" s="67" t="inlineStr">
        <is>
          <t>Activité soutenue (15 commits) mais portée par seulement 2 contributeurs. Nhat Linh Nguyen domine largement avec la migration frontend vers le backend (remplacement slug par id, intégration API backend, filtrage par genre, pagination). Spirolad contribue au backend (endpoint genres) et Docker Compose (Kafka). Les autres membres (Corentin, DEU, Jules) absents cette semaine. Travail du 06 au 12/04.</t>
        </is>
      </c>
    </row>
    <row r="5">
      <c r="A5" s="67" t="inlineStr">
        <is>
          <t>14-GameTrade</t>
        </is>
      </c>
      <c r="B5" s="67" t="n">
        <v>3</v>
      </c>
      <c r="C5" s="67" t="inlineStr">
        <is>
          <t>2</t>
        </is>
      </c>
      <c r="D5" s="67" t="inlineStr">
        <is>
          <t>Chawki (2), Selim.Barka (1)</t>
        </is>
      </c>
      <c r="E5" s="67" t="inlineStr">
        <is>
          <t>Reprise d'activité après 2 semaines d'inactivité. Chawki apporte des contributions significatives : Kafka notifications, tests unitaires, GitLab CI, Swagger et sécurité mots de passe. Selim contribue un commit. Volume faible mais contenu dense. Travail du 08 au 10/04.</t>
        </is>
      </c>
    </row>
    <row r="6">
      <c r="A6" s="67" t="inlineStr">
        <is>
          <t>15-Team5</t>
        </is>
      </c>
      <c r="B6" s="67" t="n">
        <v>2</v>
      </c>
      <c r="C6" s="67" t="inlineStr">
        <is>
          <t>2</t>
        </is>
      </c>
      <c r="D6" s="67" t="inlineStr">
        <is>
          <t>Lyna Medjedoub (1), Christina Lopes (1)</t>
        </is>
      </c>
      <c r="E6" s="67" t="inlineStr">
        <is>
          <t>Activité minimale avec 2 commits le 10/04. Lyna livre un brouillon frontend complet, Christina contribue un commit. Messages de commit peu descriptifs ("ok", "brouillon"). Rythme très faible pour cette phase du projet.</t>
        </is>
      </c>
    </row>
    <row r="7">
      <c r="A7" s="67" t="inlineStr">
        <is>
          <t>16-VAPEUR</t>
        </is>
      </c>
      <c r="B7" s="67" t="n">
        <v>0</v>
      </c>
      <c r="C7" s="67" t="inlineStr">
        <is>
          <t>0</t>
        </is>
      </c>
      <c r="D7" s="67" t="inlineStr">
        <is>
          <t>N/A</t>
        </is>
      </c>
      <c r="E7" s="67" t="inlineStr">
        <is>
          <t>Aucun commit sur la période. Deuxième semaine consécutive sans activité. Situation préoccupante.</t>
        </is>
      </c>
    </row>
    <row r="8">
      <c r="A8" s="67" t="inlineStr">
        <is>
          <t>17-MasterGame</t>
        </is>
      </c>
      <c r="B8" s="67" t="n">
        <v>0</v>
      </c>
      <c r="C8" s="67" t="inlineStr">
        <is>
          <t>0</t>
        </is>
      </c>
      <c r="D8" s="67" t="inlineStr">
        <is>
          <t>N/A</t>
        </is>
      </c>
      <c r="E8" s="67" t="inlineStr">
        <is>
          <t>Aucun commit sur la période. Deuxième semaine consécutive sans activité. Projet au point mort.</t>
        </is>
      </c>
    </row>
    <row r="9">
      <c r="A9" s="67" t="inlineStr">
        <is>
          <t>18-Koen</t>
        </is>
      </c>
      <c r="B9" s="67" t="n">
        <v>7</v>
      </c>
      <c r="C9" s="67" t="inlineStr">
        <is>
          <t>1</t>
        </is>
      </c>
      <c r="D9" s="67" t="inlineStr">
        <is>
          <t>Rayann (7)</t>
        </is>
      </c>
      <c r="E9" s="67" t="inlineStr">
        <is>
          <t>Bonne reprise d'activité (7 commits) portée par un seul contributeur (Rayann). Fonctionnalités variées : gestion des rôles, filtres de recherche manga, éditeurs, administration, et surtout intégration Kafka (notifications ajout d'œuvre, historique admin). Travail du 06 au 11/04. Bryan toujours absent du dépôt.</t>
        </is>
      </c>
    </row>
    <row r="10">
      <c r="A10" s="67" t="inlineStr">
        <is>
          <t>21-Cristaline</t>
        </is>
      </c>
      <c r="B10" s="67" t="n">
        <v>0</v>
      </c>
      <c r="C10" s="67" t="inlineStr">
        <is>
          <t>0</t>
        </is>
      </c>
      <c r="D10" s="67" t="inlineStr">
        <is>
          <t>N/A</t>
        </is>
      </c>
      <c r="E10" s="67" t="inlineStr">
        <is>
          <t>Aucun commit sur la période. Deuxième semaine consécutive sans activité après le pic du 27/03. Situation préoccupante.</t>
        </is>
      </c>
    </row>
    <row r="11">
      <c r="A11" s="67" t="inlineStr">
        <is>
          <t>22-GRAY</t>
        </is>
      </c>
      <c r="B11" s="67" t="n">
        <v>0</v>
      </c>
      <c r="C11" s="67" t="inlineStr">
        <is>
          <t>0</t>
        </is>
      </c>
      <c r="D11" s="67" t="inlineStr">
        <is>
          <t>N/A</t>
        </is>
      </c>
      <c r="E11" s="67" t="inlineStr">
        <is>
          <t>Aucun commit sur la période. Deux dépôts séparés (singify-back et singify-front) hébergés sur GitHub, avec 3 contributeurs identifiés (Ghadi Yammine, Yahya Hijazi, antoine.ganeau). Dernière activité le 28/03. Équipe inactive depuis plus de deux semaines.</t>
        </is>
      </c>
    </row>
    <row r="12">
      <c r="A12" s="67" t="inlineStr">
        <is>
          <t>23-LVC</t>
        </is>
      </c>
      <c r="B12" s="67" t="n">
        <v>4</v>
      </c>
      <c r="C12" s="67" t="inlineStr">
        <is>
          <t>2</t>
        </is>
      </c>
      <c r="D12" s="67" t="inlineStr">
        <is>
          <t>TsukuyomiKun3 (2), Onur Genc (2)</t>
        </is>
      </c>
      <c r="E12" s="67" t="inlineStr">
        <is>
          <t>Activité modérée (4 commits) avec 2 contributeurs actifs. Focus sur la sécurité : refresh token JWT, interceptor frontend pour le renouvellement automatique, configuration Spring Security. Documentation authentification mise à jour. Travail concentré les 05-06/04. Répartition équilibrée entre les 2 contributeurs.</t>
        </is>
      </c>
    </row>
    <row r="13">
      <c r="A13" s="67" t="inlineStr">
        <is>
          <t>24-GeoGuesser</t>
        </is>
      </c>
      <c r="B13" s="67" t="n">
        <v>7</v>
      </c>
      <c r="C13" s="67" t="inlineStr">
        <is>
          <t>2</t>
        </is>
      </c>
      <c r="D13" s="67" t="inlineStr">
        <is>
          <t>Naim (6), michael-rousseau (1)</t>
        </is>
      </c>
      <c r="E13" s="67" t="inlineStr">
        <is>
          <t>Activité soutenue (7 commits) principalement portée par Naim. Travaux structurants : mise en place d'un API Gateway, migration vers JWKS keypair pour l'auth, ajout de données de jeu (Mario Kart). Michael Rousseau contribue un merge. Marie-Lou et Robin absents cette semaine. Travail du 06 au 12/04.</t>
        </is>
      </c>
    </row>
    <row r="14">
      <c r="A14" s="67" t="inlineStr">
        <is>
          <t>25-BlocDeLest</t>
        </is>
      </c>
      <c r="B14" s="67" t="n">
        <v>6</v>
      </c>
      <c r="C14" s="67" t="inlineStr">
        <is>
          <t>1</t>
        </is>
      </c>
      <c r="D14" s="67" t="inlineStr">
        <is>
          <t>Samy Layaida (6)</t>
        </is>
      </c>
      <c r="E14" s="67" t="inlineStr">
        <is>
          <t>Forte reprise d'activité (6 commits) après la quasi-inactivité de P2. Samy Layaida porte seul le projet avec des contributions de qualité : tests e2e Cypress, correction backend (entités/DTOs alignés avec le schéma DB), attributs data-cy pour le testing. Bonne utilisation des PRs GitHub (#16, #17). Travail du 10 au 11/04. Yasmine et Maria toujours absentes.</t>
        </is>
      </c>
    </row>
    <row r="15">
      <c r="A15" s="67" t="inlineStr">
        <is>
          <t>26-SVRF</t>
        </is>
      </c>
      <c r="B15" s="67" t="n">
        <v>4</v>
      </c>
      <c r="C15" s="67" t="inlineStr">
        <is>
          <t>2</t>
        </is>
      </c>
      <c r="D15" s="67" t="inlineStr">
        <is>
          <t>Romain Vidal (2), Ozone92 (2)</t>
        </is>
      </c>
      <c r="E15" s="67" t="inlineStr">
        <is>
          <t>Activité en baisse par rapport à P2 (28→4 commits). Focus sur les interceptors Angular pour la communication backend (auth, erreurs). Romain développe, Ozone92 gère les PRs. Travail concentré le 05/04 uniquement. Tchouka-Vanelle et SunnyBara absents cette semaine.</t>
        </is>
      </c>
    </row>
    <row r="16">
      <c r="A16" s="67" t="inlineStr">
        <is>
          <t>27-sonora</t>
        </is>
      </c>
      <c r="B16" s="67" t="n">
        <v>4</v>
      </c>
      <c r="C16" s="67" t="inlineStr">
        <is>
          <t>2</t>
        </is>
      </c>
      <c r="D16" s="67" t="inlineStr">
        <is>
          <t>Eva Doumbe Ngangue (3), Rachel DIGNA (1)</t>
        </is>
      </c>
      <c r="E16" s="67" t="inlineStr">
        <is>
          <t>Activité stable (4 commits) avec 2 contributrices. Eva apporte des fonctionnalités majeures : streaming audio (upload MP3/WAV, HTTP Range Requests), Kafka producer track.imported, API favoris et stats d'écoute. Rachel gère un merge PR. Clara Sion Saunier absente cette semaine. Travail du 06 au 12/04.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fr-FR</dc:language>
  <dcterms:created xsi:type="dcterms:W3CDTF">2026-03-07T19:46:30Z</dcterms:created>
  <dcterms:modified xsi:type="dcterms:W3CDTF">2026-04-12T17:22:59Z</dcterms:modified>
  <cp:revision>1</cp:revision>
</cp:coreProperties>
</file>