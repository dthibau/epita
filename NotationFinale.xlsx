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tion fin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16" customWidth="1" min="3" max="3"/>
    <col width="12" customWidth="1" min="4" max="4"/>
    <col width="16" customWidth="1" min="5" max="5"/>
    <col width="14" customWidth="1" min="6" max="6"/>
  </cols>
  <sheetData>
    <row r="1" ht="32" customHeight="1">
      <c r="A1" s="1" t="inlineStr">
        <is>
          <t>Équipe</t>
        </is>
      </c>
      <c r="B1" s="1" t="inlineStr">
        <is>
          <t>Membres</t>
        </is>
      </c>
      <c r="C1" s="1" t="inlineStr">
        <is>
          <t>Conception /25</t>
        </is>
      </c>
      <c r="D1" s="1" t="inlineStr">
        <is>
          <t>Code /60</t>
        </is>
      </c>
      <c r="E1" s="1" t="inlineStr">
        <is>
          <t>Soutenance /20</t>
        </is>
      </c>
      <c r="F1" s="1" t="inlineStr">
        <is>
          <t>Note finale</t>
        </is>
      </c>
    </row>
    <row r="2" ht="28" customHeight="1">
      <c r="A2" s="2" t="inlineStr">
        <is>
          <t>Équipe 11 IMGB</t>
        </is>
      </c>
      <c r="B2" s="3" t="inlineStr">
        <is>
          <t>Esteban PAGIS, Paul MONTAGNAC, Corentin GUINIOT ALLALOU</t>
        </is>
      </c>
      <c r="C2" s="4" t="n">
        <v>11</v>
      </c>
      <c r="D2" s="4" t="n">
        <v>54</v>
      </c>
      <c r="E2" s="4" t="n">
        <v>20</v>
      </c>
      <c r="F2" s="5">
        <f>MROUND((C2+D2+E2)/5,0.5)</f>
        <v/>
      </c>
    </row>
    <row r="3" ht="28" customHeight="1">
      <c r="A3" s="2" t="inlineStr">
        <is>
          <t>Équipe 12 ANGULAR</t>
        </is>
      </c>
      <c r="B3" s="3" t="inlineStr">
        <is>
          <t>(projet stam)</t>
        </is>
      </c>
      <c r="C3" s="4" t="n">
        <v>23</v>
      </c>
      <c r="D3" s="4" t="n">
        <v>56</v>
      </c>
      <c r="E3" s="4" t="n">
        <v>20</v>
      </c>
      <c r="F3" s="5">
        <f>MROUND((C3+D3+E3)/5,0.5)</f>
        <v/>
      </c>
    </row>
    <row r="4" ht="28" customHeight="1">
      <c r="A4" s="2" t="inlineStr">
        <is>
          <t>Équipe 13 TEAM3Juicy</t>
        </is>
      </c>
      <c r="B4" s="3" t="inlineStr">
        <is>
          <t>Corentin Dupaigne, Jules Ladaigue, Nhat Linh Nguyen, Adrien Deu</t>
        </is>
      </c>
      <c r="C4" s="4" t="n">
        <v>22</v>
      </c>
      <c r="D4" s="4" t="n">
        <v>60</v>
      </c>
      <c r="E4" s="4" t="n">
        <v>20</v>
      </c>
      <c r="F4" s="5">
        <f>MROUND((C4+D4+E4)/5,0.5)</f>
        <v/>
      </c>
    </row>
    <row r="5" ht="28" customHeight="1">
      <c r="A5" s="2" t="inlineStr">
        <is>
          <t>Équipe 14 GameTrade</t>
        </is>
      </c>
      <c r="B5" s="3" t="inlineStr">
        <is>
          <t>Yassine Azzouz, Selim Barka, Achraf Chawki</t>
        </is>
      </c>
      <c r="C5" s="4" t="n">
        <v>11</v>
      </c>
      <c r="D5" s="4" t="n">
        <v>24</v>
      </c>
      <c r="E5" s="4" t="n">
        <v>20</v>
      </c>
      <c r="F5" s="5">
        <f>MROUND((C5+D5+E5)/5,0.5)</f>
        <v/>
      </c>
    </row>
    <row r="6" ht="28" customHeight="1">
      <c r="A6" s="2" t="inlineStr">
        <is>
          <t>Équipe 15 Team5</t>
        </is>
      </c>
      <c r="B6" s="3" t="inlineStr">
        <is>
          <t>Amina SERRANO, Christina LOPES, Hajar KHETTOU, Lyna MEDJEDOUB, Rawane OUFFA</t>
        </is>
      </c>
      <c r="C6" s="4" t="n">
        <v>18.5</v>
      </c>
      <c r="D6" s="4" t="n">
        <v>40</v>
      </c>
      <c r="E6" s="4" t="n">
        <v>20</v>
      </c>
      <c r="F6" s="5">
        <f>MROUND((C6+D6+E6)/5,0.5)</f>
        <v/>
      </c>
    </row>
    <row r="7" ht="28" customHeight="1">
      <c r="A7" s="2" t="inlineStr">
        <is>
          <t>Équipe 16 VAPEUR</t>
        </is>
      </c>
      <c r="B7" s="3" t="inlineStr">
        <is>
          <t>(didactic-octo-fishstick)</t>
        </is>
      </c>
      <c r="C7" s="4" t="n">
        <v>14</v>
      </c>
      <c r="D7" s="4" t="n">
        <v>42</v>
      </c>
      <c r="E7" s="4" t="n">
        <v>20</v>
      </c>
      <c r="F7" s="5">
        <f>MROUND((C7+D7+E7)/5,0.5)</f>
        <v/>
      </c>
    </row>
    <row r="8" ht="28" customHeight="1">
      <c r="A8" s="2" t="inlineStr">
        <is>
          <t>Équipe 17 MasterGame</t>
        </is>
      </c>
      <c r="B8" s="3" t="inlineStr">
        <is>
          <t>(Apping Fullstack)</t>
        </is>
      </c>
      <c r="C8" s="4" t="n">
        <v>15</v>
      </c>
      <c r="D8" s="4" t="n">
        <v>63</v>
      </c>
      <c r="E8" s="4" t="n">
        <v>20</v>
      </c>
      <c r="F8" s="5">
        <f>MROUND((C8+D8+E8)/5,0.5)</f>
        <v/>
      </c>
    </row>
    <row r="9" ht="28" customHeight="1">
      <c r="A9" s="2" t="inlineStr">
        <is>
          <t>Équipe 18 Koen</t>
        </is>
      </c>
      <c r="B9" s="3" t="inlineStr">
        <is>
          <t>R. Bouheddou, M. Logologofolau, B. Phan Nguyen</t>
        </is>
      </c>
      <c r="C9" s="4" t="n">
        <v>17</v>
      </c>
      <c r="D9" s="4" t="n">
        <v>51</v>
      </c>
      <c r="E9" s="4" t="n">
        <v>20</v>
      </c>
      <c r="F9" s="5">
        <f>MROUND((C9+D9+E9)/5,0.5)</f>
        <v/>
      </c>
    </row>
    <row r="10" ht="28" customHeight="1">
      <c r="A10" s="2" t="inlineStr">
        <is>
          <t>Équipe 21 Cristaline</t>
        </is>
      </c>
      <c r="B10" s="3" t="inlineStr">
        <is>
          <t>Nadir Koudri, Alexandre Leclaire, Yicheng Zheng et al. — DOOMGAP</t>
        </is>
      </c>
      <c r="C10" s="4" t="n">
        <v>18</v>
      </c>
      <c r="D10" s="4" t="n">
        <v>34</v>
      </c>
      <c r="E10" s="4" t="n">
        <v>20</v>
      </c>
      <c r="F10" s="5">
        <f>MROUND((C10+D10+E10)/5,0.5)</f>
        <v/>
      </c>
    </row>
    <row r="11" ht="28" customHeight="1">
      <c r="A11" s="2" t="inlineStr">
        <is>
          <t>Équipe 22 GRAY</t>
        </is>
      </c>
      <c r="B11" s="3" t="inlineStr">
        <is>
          <t>Ghadi Yammine, Yahya Hijazi, Antoine Ganeau - DOOMGAP</t>
        </is>
      </c>
      <c r="C11" s="4" t="n">
        <v>13</v>
      </c>
      <c r="D11" s="4" t="n">
        <v>50</v>
      </c>
      <c r="E11" s="4" t="n">
        <v>20</v>
      </c>
      <c r="F11" s="5">
        <f>MROUND((C11+D11+E11)/5,0.5)</f>
        <v/>
      </c>
    </row>
    <row r="12" ht="28" customHeight="1">
      <c r="A12" s="2" t="inlineStr">
        <is>
          <t>Équipe 23 LVC</t>
        </is>
      </c>
      <c r="B12" s="3" t="inlineStr">
        <is>
          <t>Cristian MESINA, Onur GENC, Quentin DUMONT, Axel MARAL, Aurélien HURAND</t>
        </is>
      </c>
      <c r="C12" s="4" t="n">
        <v>22</v>
      </c>
      <c r="D12" s="4" t="n">
        <v>55</v>
      </c>
      <c r="E12" s="4" t="n">
        <v>20</v>
      </c>
      <c r="F12" s="5">
        <f>MROUND((C12+D12+E12)/5,0.5)</f>
        <v/>
      </c>
    </row>
    <row r="13" ht="28" customHeight="1">
      <c r="A13" s="2" t="inlineStr">
        <is>
          <t>Équipe 24 GeoGuesser</t>
        </is>
      </c>
      <c r="B13" s="3" t="inlineStr">
        <is>
          <t>Marie-Lou Allain, Naïm Chefirat, Michaël Rousseau, Robin Vidal</t>
        </is>
      </c>
      <c r="C13" s="4" t="n">
        <v>23</v>
      </c>
      <c r="D13" s="4" t="n">
        <v>64</v>
      </c>
      <c r="E13" s="4" t="n">
        <v>20</v>
      </c>
      <c r="F13" s="5">
        <f>MROUND((C13+D13+E13)/5,0.5)</f>
        <v/>
      </c>
    </row>
    <row r="14" ht="28" customHeight="1">
      <c r="A14" s="2" t="inlineStr">
        <is>
          <t>Équipe 25 BlocDeLest</t>
        </is>
      </c>
      <c r="B14" s="3" t="inlineStr">
        <is>
          <t>Maria Khvatova, Samy Layaida, Yasmine Benali, Baptiste Cormorant</t>
        </is>
      </c>
      <c r="C14" s="4" t="n">
        <v>23</v>
      </c>
      <c r="D14" s="4" t="n">
        <v>53</v>
      </c>
      <c r="E14" s="4" t="n">
        <v>20</v>
      </c>
      <c r="F14" s="5">
        <f>MROUND((C14+D14+E14)/5,0.5)</f>
        <v/>
      </c>
    </row>
    <row r="15" ht="28" customHeight="1">
      <c r="A15" s="2" t="inlineStr">
        <is>
          <t>Équipe 26 SVRF</t>
        </is>
      </c>
      <c r="B15" s="3" t="inlineStr"/>
      <c r="C15" s="4" t="n">
        <v>19</v>
      </c>
      <c r="D15" s="4" t="n">
        <v>54</v>
      </c>
      <c r="E15" s="4" t="n">
        <v>20</v>
      </c>
      <c r="F15" s="5">
        <f>MROUND((C15+D15+E15)/5,0.5)</f>
        <v/>
      </c>
    </row>
    <row r="16" ht="28" customHeight="1">
      <c r="A16" s="2" t="inlineStr">
        <is>
          <t>Équipe 27 Sonora</t>
        </is>
      </c>
      <c r="B16" s="3" t="inlineStr">
        <is>
          <t>Aïda GOUMBLE, Rachel DIGNA, Eva DOUMBE NGANGUE, Clara SION-SAUNIER</t>
        </is>
      </c>
      <c r="C16" s="4" t="n">
        <v>17.5</v>
      </c>
      <c r="D16" s="4" t="n">
        <v>54</v>
      </c>
      <c r="E16" s="4" t="n">
        <v>20</v>
      </c>
      <c r="F16" s="5">
        <f>MROUND((C16+D16+E16)/5,0.5)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2026-04-26T09:17:45Z</dcterms:created>
  <dcterms:modified xsi:type="dcterms:W3CDTF">2026-04-26T09:17:45Z</dcterms:modified>
</cp:coreProperties>
</file>